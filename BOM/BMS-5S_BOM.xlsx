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oding_codes\bms\"/>
    </mc:Choice>
  </mc:AlternateContent>
  <xr:revisionPtr revIDLastSave="0" documentId="13_ncr:1_{844C347F-F920-4E9C-A6FE-796CC60F5EB8}" xr6:coauthVersionLast="47" xr6:coauthVersionMax="47" xr10:uidLastSave="{00000000-0000-0000-0000-000000000000}"/>
  <bookViews>
    <workbookView xWindow="12710" yWindow="0" windowWidth="12980" windowHeight="15370" tabRatio="500" activeTab="1" xr2:uid="{00000000-000D-0000-FFFF-FFFF00000000}"/>
  </bookViews>
  <sheets>
    <sheet name="立创补购清单" sheetId="1" r:id="rId1"/>
    <sheet name="完整BOM总览" sheetId="2" r:id="rId2"/>
    <sheet name="已采购物料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8" i="1" l="1"/>
  <c r="E27" i="1"/>
</calcChain>
</file>

<file path=xl/sharedStrings.xml><?xml version="1.0" encoding="utf-8"?>
<sst xmlns="http://schemas.openxmlformats.org/spreadsheetml/2006/main" count="676" uniqueCount="429">
  <si>
    <r>
      <rPr>
        <b/>
        <sz val="11"/>
        <color rgb="FFFFFFFF"/>
        <rFont val="Arial"/>
        <family val="2"/>
      </rPr>
      <t>LCSC</t>
    </r>
    <r>
      <rPr>
        <b/>
        <sz val="11"/>
        <color rgb="FFFFFFFF"/>
        <rFont val="Noto Sans CJK SC"/>
        <family val="2"/>
      </rPr>
      <t>编码</t>
    </r>
  </si>
  <si>
    <r>
      <rPr>
        <b/>
        <sz val="11"/>
        <color rgb="FFFFFFFF"/>
        <rFont val="Noto Sans CJK SC"/>
        <family val="2"/>
      </rPr>
      <t>型号</t>
    </r>
    <r>
      <rPr>
        <b/>
        <sz val="11"/>
        <color rgb="FFFFFFFF"/>
        <rFont val="Arial"/>
        <family val="2"/>
      </rPr>
      <t>/</t>
    </r>
    <r>
      <rPr>
        <b/>
        <sz val="11"/>
        <color rgb="FFFFFFFF"/>
        <rFont val="Noto Sans CJK SC"/>
        <family val="2"/>
      </rPr>
      <t>规格</t>
    </r>
  </si>
  <si>
    <t>封装</t>
  </si>
  <si>
    <t>数量</t>
  </si>
  <si>
    <t>用途</t>
  </si>
  <si>
    <r>
      <rPr>
        <b/>
        <sz val="11"/>
        <color rgb="FFFFFFFF"/>
        <rFont val="Noto Sans CJK SC"/>
        <family val="2"/>
      </rPr>
      <t>单价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参考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</si>
  <si>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Noto Sans CJK SC"/>
        <family val="2"/>
      </rPr>
      <t>金额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参考</t>
    </r>
    <r>
      <rPr>
        <b/>
        <sz val="11"/>
        <color rgb="FFFFFFFF"/>
        <rFont val="Arial"/>
        <family val="2"/>
      </rPr>
      <t>)</t>
    </r>
  </si>
  <si>
    <t>C146595</t>
  </si>
  <si>
    <t>BQ34Z100PWR-G1</t>
  </si>
  <si>
    <t>TSSOP-14</t>
  </si>
  <si>
    <r>
      <rPr>
        <sz val="11"/>
        <color theme="1"/>
        <rFont val="Calibri"/>
        <family val="2"/>
        <charset val="1"/>
      </rPr>
      <t xml:space="preserve">U3 - </t>
    </r>
    <r>
      <rPr>
        <sz val="11"/>
        <color theme="1"/>
        <rFont val="Noto Sans CJK SC"/>
        <family val="2"/>
      </rPr>
      <t xml:space="preserve">电量计 </t>
    </r>
    <r>
      <rPr>
        <sz val="11"/>
        <color theme="1"/>
        <rFont val="Calibri"/>
        <family val="2"/>
        <charset val="1"/>
      </rPr>
      <t>SOC/SOH</t>
    </r>
    <r>
      <rPr>
        <sz val="11"/>
        <color theme="1"/>
        <rFont val="Noto Sans CJK SC"/>
        <family val="2"/>
      </rPr>
      <t>（核心）</t>
    </r>
  </si>
  <si>
    <t>C144568</t>
  </si>
  <si>
    <t>AOD508</t>
  </si>
  <si>
    <t>TO-252 (DPAK)</t>
  </si>
  <si>
    <r>
      <rPr>
        <sz val="11"/>
        <color theme="1"/>
        <rFont val="Calibri"/>
        <family val="2"/>
        <charset val="1"/>
      </rPr>
      <t xml:space="preserve">Q1/Q2 </t>
    </r>
    <r>
      <rPr>
        <sz val="11"/>
        <color theme="1"/>
        <rFont val="Noto Sans CJK SC"/>
        <family val="2"/>
      </rPr>
      <t>充放电主</t>
    </r>
    <r>
      <rPr>
        <sz val="11"/>
        <color theme="1"/>
        <rFont val="Calibri"/>
        <family val="2"/>
        <charset val="1"/>
      </rPr>
      <t>MOS 40V/50A</t>
    </r>
  </si>
  <si>
    <t>C29630</t>
  </si>
  <si>
    <t>MP1584EN-LF-Z</t>
  </si>
  <si>
    <t>SOIC-8</t>
  </si>
  <si>
    <r>
      <rPr>
        <sz val="11"/>
        <color theme="1"/>
        <rFont val="Calibri"/>
        <family val="2"/>
        <charset val="1"/>
      </rPr>
      <t xml:space="preserve">U6 - 4V DC-DC </t>
    </r>
    <r>
      <rPr>
        <sz val="11"/>
        <color theme="1"/>
        <rFont val="Noto Sans CJK SC"/>
        <family val="2"/>
      </rPr>
      <t>给</t>
    </r>
    <r>
      <rPr>
        <sz val="11"/>
        <color theme="1"/>
        <rFont val="Calibri"/>
        <family val="2"/>
        <charset val="1"/>
      </rPr>
      <t>L610</t>
    </r>
    <r>
      <rPr>
        <sz val="11"/>
        <color theme="1"/>
        <rFont val="Noto Sans CJK SC"/>
        <family val="2"/>
      </rPr>
      <t>（已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只补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只）</t>
    </r>
  </si>
  <si>
    <t>C2150</t>
  </si>
  <si>
    <t>S8050 (J3Y)</t>
  </si>
  <si>
    <t>SOT-23</t>
  </si>
  <si>
    <r>
      <rPr>
        <sz val="11"/>
        <color theme="1"/>
        <rFont val="Calibri"/>
        <family val="2"/>
        <charset val="1"/>
      </rPr>
      <t xml:space="preserve">Q3 - </t>
    </r>
    <r>
      <rPr>
        <sz val="11"/>
        <color theme="1"/>
        <rFont val="Noto Sans CJK SC"/>
        <family val="2"/>
      </rPr>
      <t>蜂鸣器三极管</t>
    </r>
  </si>
  <si>
    <t>C77952</t>
  </si>
  <si>
    <r>
      <rPr>
        <sz val="11"/>
        <color theme="1"/>
        <rFont val="Noto Sans CJK SC"/>
        <family val="2"/>
      </rPr>
      <t xml:space="preserve">蜂鸣器 </t>
    </r>
    <r>
      <rPr>
        <sz val="11"/>
        <color theme="1"/>
        <rFont val="Calibri"/>
        <family val="2"/>
        <charset val="1"/>
      </rPr>
      <t>9×11mm 3-5V 2700Hz</t>
    </r>
  </si>
  <si>
    <t>DIP</t>
  </si>
  <si>
    <r>
      <rPr>
        <sz val="11"/>
        <color theme="1"/>
        <rFont val="Calibri"/>
        <family val="2"/>
        <charset val="1"/>
      </rPr>
      <t xml:space="preserve">BZ1 - </t>
    </r>
    <r>
      <rPr>
        <sz val="11"/>
        <color theme="1"/>
        <rFont val="Noto Sans CJK SC"/>
        <family val="2"/>
      </rPr>
      <t>有源蜂鸣器</t>
    </r>
  </si>
  <si>
    <t>C17888</t>
  </si>
  <si>
    <t>0805W8F4701T5E (4.7kΩ 1%)</t>
  </si>
  <si>
    <t>0805</t>
  </si>
  <si>
    <r>
      <rPr>
        <sz val="11"/>
        <color theme="1"/>
        <rFont val="Calibri"/>
        <family val="2"/>
        <charset val="1"/>
      </rPr>
      <t>R17/R18 - I²C</t>
    </r>
    <r>
      <rPr>
        <sz val="11"/>
        <color theme="1"/>
        <rFont val="Noto Sans CJK SC"/>
        <family val="2"/>
      </rPr>
      <t>上拉⭐</t>
    </r>
  </si>
  <si>
    <t>C17626</t>
  </si>
  <si>
    <t>0805W8J0105T5E (1MΩ 5%)</t>
  </si>
  <si>
    <r>
      <rPr>
        <sz val="11"/>
        <color theme="1"/>
        <rFont val="Calibri"/>
        <family val="2"/>
        <charset val="1"/>
      </rPr>
      <t>R21 - ALERT</t>
    </r>
    <r>
      <rPr>
        <sz val="11"/>
        <color theme="1"/>
        <rFont val="Noto Sans CJK SC"/>
        <family val="2"/>
      </rPr>
      <t>下拉⭐</t>
    </r>
  </si>
  <si>
    <t>C25892</t>
  </si>
  <si>
    <t>0805W8F1504T5E (1.5MΩ 1%)</t>
  </si>
  <si>
    <r>
      <rPr>
        <sz val="11"/>
        <color theme="1"/>
        <rFont val="Calibri"/>
        <family val="2"/>
        <charset val="1"/>
      </rPr>
      <t>R22 - BQ34</t>
    </r>
    <r>
      <rPr>
        <sz val="11"/>
        <color theme="1"/>
        <rFont val="Noto Sans CJK SC"/>
        <family val="2"/>
      </rPr>
      <t>分压上臂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关键</t>
    </r>
    <r>
      <rPr>
        <sz val="11"/>
        <color theme="1"/>
        <rFont val="Calibri"/>
        <family val="2"/>
        <charset val="1"/>
      </rPr>
      <t>!)⭐</t>
    </r>
  </si>
  <si>
    <t>C25976</t>
  </si>
  <si>
    <t>0805W8F6802T5E (68kΩ 1%)</t>
  </si>
  <si>
    <r>
      <rPr>
        <sz val="11"/>
        <color theme="1"/>
        <rFont val="Calibri"/>
        <family val="2"/>
        <charset val="1"/>
      </rPr>
      <t>R23 - BQ34</t>
    </r>
    <r>
      <rPr>
        <sz val="11"/>
        <color theme="1"/>
        <rFont val="Noto Sans CJK SC"/>
        <family val="2"/>
      </rPr>
      <t>分压下臂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关键</t>
    </r>
    <r>
      <rPr>
        <sz val="11"/>
        <color theme="1"/>
        <rFont val="Calibri"/>
        <family val="2"/>
        <charset val="1"/>
      </rPr>
      <t>!)⭐</t>
    </r>
  </si>
  <si>
    <t>C17686</t>
  </si>
  <si>
    <t>0805W8J0511T5E (510Ω 5%)</t>
  </si>
  <si>
    <r>
      <rPr>
        <sz val="11"/>
        <color theme="1"/>
        <rFont val="Calibri"/>
        <family val="2"/>
        <charset val="1"/>
      </rPr>
      <t>R31/R32 - LED</t>
    </r>
    <r>
      <rPr>
        <sz val="11"/>
        <color theme="1"/>
        <rFont val="Noto Sans CJK SC"/>
        <family val="2"/>
      </rPr>
      <t>限流</t>
    </r>
  </si>
  <si>
    <t>C84296</t>
  </si>
  <si>
    <t>2010</t>
  </si>
  <si>
    <r>
      <rPr>
        <sz val="11"/>
        <color theme="1"/>
        <rFont val="Calibri"/>
        <family val="2"/>
        <charset val="1"/>
      </rPr>
      <t xml:space="preserve">R12-R16 - </t>
    </r>
    <r>
      <rPr>
        <sz val="11"/>
        <color theme="1"/>
        <rFont val="Noto Sans CJK SC"/>
        <family val="2"/>
      </rPr>
      <t>均衡电阻⭐</t>
    </r>
  </si>
  <si>
    <t>C25809</t>
  </si>
  <si>
    <t>0805W8F1053T5E (105kΩ 1%)</t>
  </si>
  <si>
    <r>
      <rPr>
        <sz val="11"/>
        <color theme="1"/>
        <rFont val="Calibri"/>
        <family val="2"/>
        <charset val="1"/>
      </rPr>
      <t>MP1584</t>
    </r>
    <r>
      <rPr>
        <sz val="11"/>
        <color theme="1"/>
        <rFont val="Noto Sans CJK SC"/>
        <family val="2"/>
      </rPr>
      <t>反馈上臂</t>
    </r>
    <r>
      <rPr>
        <sz val="11"/>
        <color theme="1"/>
        <rFont val="Calibri"/>
        <family val="2"/>
        <charset val="1"/>
      </rPr>
      <t>(5V</t>
    </r>
    <r>
      <rPr>
        <sz val="11"/>
        <color theme="1"/>
        <rFont val="Noto Sans CJK SC"/>
        <family val="2"/>
      </rPr>
      <t>输出</t>
    </r>
    <r>
      <rPr>
        <sz val="11"/>
        <color theme="1"/>
        <rFont val="Calibri"/>
        <family val="2"/>
        <charset val="1"/>
      </rPr>
      <t>)</t>
    </r>
  </si>
  <si>
    <t>C25867</t>
  </si>
  <si>
    <t>0805W8F8062T5E (80.6kΩ 1%)</t>
  </si>
  <si>
    <r>
      <rPr>
        <sz val="11"/>
        <color theme="1"/>
        <rFont val="Calibri"/>
        <family val="2"/>
        <charset val="1"/>
      </rPr>
      <t>MP1584</t>
    </r>
    <r>
      <rPr>
        <sz val="11"/>
        <color theme="1"/>
        <rFont val="Noto Sans CJK SC"/>
        <family val="2"/>
      </rPr>
      <t>反馈上臂</t>
    </r>
    <r>
      <rPr>
        <sz val="11"/>
        <color theme="1"/>
        <rFont val="Calibri"/>
        <family val="2"/>
        <charset val="1"/>
      </rPr>
      <t>(4V</t>
    </r>
    <r>
      <rPr>
        <sz val="11"/>
        <color theme="1"/>
        <rFont val="Noto Sans CJK SC"/>
        <family val="2"/>
      </rPr>
      <t>输出</t>
    </r>
    <r>
      <rPr>
        <sz val="11"/>
        <color theme="1"/>
        <rFont val="Calibri"/>
        <family val="2"/>
        <charset val="1"/>
      </rPr>
      <t>)</t>
    </r>
  </si>
  <si>
    <t>C25768</t>
  </si>
  <si>
    <t>0805W8F2002T5E (20kΩ 1%)</t>
  </si>
  <si>
    <r>
      <rPr>
        <sz val="11"/>
        <color theme="1"/>
        <rFont val="Calibri"/>
        <family val="2"/>
        <charset val="1"/>
      </rPr>
      <t>MP1584</t>
    </r>
    <r>
      <rPr>
        <sz val="11"/>
        <color theme="1"/>
        <rFont val="Noto Sans CJK SC"/>
        <family val="2"/>
      </rPr>
      <t>反馈下臂</t>
    </r>
  </si>
  <si>
    <t>C45783</t>
  </si>
  <si>
    <t>CL21A226MQQNNNE (22µF/16V X5R)</t>
  </si>
  <si>
    <r>
      <rPr>
        <sz val="11"/>
        <color theme="1"/>
        <rFont val="Calibri"/>
        <family val="2"/>
        <charset val="1"/>
      </rPr>
      <t>MP1584</t>
    </r>
    <r>
      <rPr>
        <sz val="11"/>
        <color theme="1"/>
        <rFont val="Noto Sans CJK SC"/>
        <family val="2"/>
      </rPr>
      <t>输入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 xml:space="preserve">输出 </t>
    </r>
    <r>
      <rPr>
        <sz val="11"/>
        <color theme="1"/>
        <rFont val="Calibri"/>
        <family val="2"/>
        <charset val="1"/>
      </rPr>
      <t>+ AMS</t>
    </r>
    <r>
      <rPr>
        <sz val="11"/>
        <color theme="1"/>
        <rFont val="Noto Sans CJK SC"/>
        <family val="2"/>
      </rPr>
      <t>输出</t>
    </r>
  </si>
  <si>
    <t>C16133</t>
  </si>
  <si>
    <t>Φ6.3×11mm</t>
  </si>
  <si>
    <r>
      <rPr>
        <sz val="11"/>
        <color theme="1"/>
        <rFont val="Calibri"/>
        <family val="2"/>
        <charset val="1"/>
      </rPr>
      <t>C29 - L610</t>
    </r>
    <r>
      <rPr>
        <sz val="11"/>
        <color theme="1"/>
        <rFont val="Noto Sans CJK SC"/>
        <family val="2"/>
      </rPr>
      <t>大容量缓冲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突发</t>
    </r>
    <r>
      <rPr>
        <sz val="11"/>
        <color theme="1"/>
        <rFont val="Calibri"/>
        <family val="2"/>
        <charset val="1"/>
      </rPr>
      <t>1.8A)⭐</t>
    </r>
  </si>
  <si>
    <t>C19666</t>
  </si>
  <si>
    <r>
      <rPr>
        <sz val="11"/>
        <color theme="1"/>
        <rFont val="Calibri"/>
        <family val="2"/>
        <charset val="1"/>
      </rPr>
      <t>AMS1117</t>
    </r>
    <r>
      <rPr>
        <sz val="11"/>
        <color theme="1"/>
        <rFont val="Noto Sans CJK SC"/>
        <family val="2"/>
      </rPr>
      <t>输入</t>
    </r>
  </si>
  <si>
    <t>C415102</t>
  </si>
  <si>
    <t>SLF7045T-220M2R0-PF (22µH 2A)</t>
  </si>
  <si>
    <t>7×7×4.5mm</t>
  </si>
  <si>
    <r>
      <rPr>
        <sz val="11"/>
        <color theme="1"/>
        <rFont val="Calibri"/>
        <family val="2"/>
        <charset val="1"/>
      </rPr>
      <t xml:space="preserve">MP1584 </t>
    </r>
    <r>
      <rPr>
        <sz val="11"/>
        <color theme="1"/>
        <rFont val="Noto Sans CJK SC"/>
        <family val="2"/>
      </rPr>
      <t>输出电感⭐</t>
    </r>
  </si>
  <si>
    <t>C81598</t>
  </si>
  <si>
    <t>1N4148WS</t>
  </si>
  <si>
    <t>SOD-323</t>
  </si>
  <si>
    <t>蜂鸣器续流</t>
  </si>
  <si>
    <t>C5499148</t>
  </si>
  <si>
    <r>
      <rPr>
        <sz val="11"/>
        <color theme="1"/>
        <rFont val="Calibri"/>
        <family val="2"/>
        <charset val="1"/>
      </rPr>
      <t xml:space="preserve">KF128-2.54-6P </t>
    </r>
    <r>
      <rPr>
        <sz val="11"/>
        <color theme="1"/>
        <rFont val="Noto Sans CJK SC"/>
        <family val="2"/>
      </rPr>
      <t>接线端子</t>
    </r>
  </si>
  <si>
    <t>DIP-2.54</t>
  </si>
  <si>
    <r>
      <rPr>
        <sz val="11"/>
        <color theme="1"/>
        <rFont val="Calibri"/>
        <family val="2"/>
        <charset val="1"/>
      </rPr>
      <t>J2 - 5</t>
    </r>
    <r>
      <rPr>
        <sz val="11"/>
        <color theme="1"/>
        <rFont val="Noto Sans CJK SC"/>
        <family val="2"/>
      </rPr>
      <t>串电池接口⭐</t>
    </r>
  </si>
  <si>
    <t>C124378</t>
  </si>
  <si>
    <r>
      <rPr>
        <sz val="11"/>
        <color theme="1"/>
        <rFont val="Noto Sans CJK SC"/>
        <family val="2"/>
      </rPr>
      <t xml:space="preserve">排针 </t>
    </r>
    <r>
      <rPr>
        <sz val="11"/>
        <color theme="1"/>
        <rFont val="Calibri"/>
        <family val="2"/>
        <charset val="1"/>
      </rPr>
      <t xml:space="preserve">2.54mm 1×6 </t>
    </r>
    <r>
      <rPr>
        <sz val="11"/>
        <color theme="1"/>
        <rFont val="Noto Sans CJK SC"/>
        <family val="2"/>
      </rPr>
      <t>直针</t>
    </r>
  </si>
  <si>
    <r>
      <rPr>
        <sz val="11"/>
        <color theme="1"/>
        <rFont val="Calibri"/>
        <family val="2"/>
        <charset val="1"/>
      </rPr>
      <t>J5 - L610</t>
    </r>
    <r>
      <rPr>
        <sz val="11"/>
        <color theme="1"/>
        <rFont val="Noto Sans CJK SC"/>
        <family val="2"/>
      </rPr>
      <t>模组对接</t>
    </r>
  </si>
  <si>
    <t>C124376</t>
  </si>
  <si>
    <r>
      <rPr>
        <sz val="11"/>
        <color theme="1"/>
        <rFont val="Noto Sans CJK SC"/>
        <family val="2"/>
      </rPr>
      <t xml:space="preserve">排针 </t>
    </r>
    <r>
      <rPr>
        <sz val="11"/>
        <color theme="1"/>
        <rFont val="Calibri"/>
        <family val="2"/>
        <charset val="1"/>
      </rPr>
      <t xml:space="preserve">2.54mm 1×4 </t>
    </r>
    <r>
      <rPr>
        <sz val="11"/>
        <color theme="1"/>
        <rFont val="Noto Sans CJK SC"/>
        <family val="2"/>
      </rPr>
      <t>直针</t>
    </r>
  </si>
  <si>
    <r>
      <rPr>
        <sz val="11"/>
        <color theme="1"/>
        <rFont val="Calibri"/>
        <family val="2"/>
        <charset val="1"/>
      </rPr>
      <t>J4 - SWD</t>
    </r>
    <r>
      <rPr>
        <sz val="11"/>
        <color theme="1"/>
        <rFont val="Noto Sans CJK SC"/>
        <family val="2"/>
      </rPr>
      <t>调试</t>
    </r>
  </si>
  <si>
    <t>C72043</t>
  </si>
  <si>
    <r>
      <rPr>
        <sz val="11"/>
        <color theme="1"/>
        <rFont val="Calibri"/>
        <family val="2"/>
        <charset val="1"/>
      </rPr>
      <t xml:space="preserve">0805 LED </t>
    </r>
    <r>
      <rPr>
        <sz val="11"/>
        <color theme="1"/>
        <rFont val="Noto Sans CJK SC"/>
        <family val="2"/>
      </rPr>
      <t xml:space="preserve">绿色 </t>
    </r>
    <r>
      <rPr>
        <sz val="11"/>
        <color theme="1"/>
        <rFont val="Calibri"/>
        <family val="2"/>
        <charset val="1"/>
      </rPr>
      <t>568nm</t>
    </r>
  </si>
  <si>
    <r>
      <rPr>
        <sz val="11"/>
        <color theme="1"/>
        <rFont val="Calibri"/>
        <family val="2"/>
        <charset val="1"/>
      </rPr>
      <t xml:space="preserve">LED1 - </t>
    </r>
    <r>
      <rPr>
        <sz val="11"/>
        <color theme="1"/>
        <rFont val="Noto Sans CJK SC"/>
        <family val="2"/>
      </rPr>
      <t>正常指示</t>
    </r>
  </si>
  <si>
    <t>C84256</t>
  </si>
  <si>
    <r>
      <rPr>
        <sz val="11"/>
        <color theme="1"/>
        <rFont val="Calibri"/>
        <family val="2"/>
        <charset val="1"/>
      </rPr>
      <t xml:space="preserve">0805 LED </t>
    </r>
    <r>
      <rPr>
        <sz val="11"/>
        <color theme="1"/>
        <rFont val="Noto Sans CJK SC"/>
        <family val="2"/>
      </rPr>
      <t xml:space="preserve">红色 </t>
    </r>
    <r>
      <rPr>
        <sz val="11"/>
        <color theme="1"/>
        <rFont val="Calibri"/>
        <family val="2"/>
        <charset val="1"/>
      </rPr>
      <t>625nm</t>
    </r>
  </si>
  <si>
    <r>
      <rPr>
        <sz val="11"/>
        <color theme="1"/>
        <rFont val="Calibri"/>
        <family val="2"/>
        <charset val="1"/>
      </rPr>
      <t xml:space="preserve">LED2 - </t>
    </r>
    <r>
      <rPr>
        <sz val="11"/>
        <color theme="1"/>
        <rFont val="Noto Sans CJK SC"/>
        <family val="2"/>
      </rPr>
      <t>告警指示</t>
    </r>
  </si>
  <si>
    <t>物料种类合计</t>
  </si>
  <si>
    <t>预估总金额</t>
  </si>
  <si>
    <t>位号</t>
  </si>
  <si>
    <t>元件名称</t>
  </si>
  <si>
    <t>型号</t>
  </si>
  <si>
    <t>状态</t>
  </si>
  <si>
    <t>U1</t>
  </si>
  <si>
    <r>
      <rPr>
        <sz val="11"/>
        <color theme="1"/>
        <rFont val="Calibri"/>
        <family val="2"/>
        <charset val="1"/>
      </rPr>
      <t>STM32G474RET6</t>
    </r>
    <r>
      <rPr>
        <sz val="11"/>
        <color theme="1"/>
        <rFont val="Noto Sans CJK SC"/>
        <family val="2"/>
      </rPr>
      <t>最小系统板</t>
    </r>
  </si>
  <si>
    <r>
      <rPr>
        <sz val="11"/>
        <color theme="1"/>
        <rFont val="Calibri"/>
        <family val="2"/>
        <charset val="1"/>
      </rPr>
      <t>STM32G474RET6 LQFP-64</t>
    </r>
    <r>
      <rPr>
        <sz val="11"/>
        <color theme="1"/>
        <rFont val="Noto Sans CJK SC"/>
        <family val="2"/>
      </rPr>
      <t>板</t>
    </r>
  </si>
  <si>
    <t>板载</t>
  </si>
  <si>
    <r>
      <rPr>
        <sz val="11"/>
        <color theme="1"/>
        <rFont val="Noto Sans CJK SC"/>
        <family val="2"/>
      </rPr>
      <t>主控</t>
    </r>
    <r>
      <rPr>
        <sz val="11"/>
        <color theme="1"/>
        <rFont val="Calibri"/>
        <family val="2"/>
        <charset val="1"/>
      </rPr>
      <t>MCU</t>
    </r>
  </si>
  <si>
    <t>淘宝外购</t>
  </si>
  <si>
    <t>—</t>
  </si>
  <si>
    <t>U2</t>
  </si>
  <si>
    <r>
      <rPr>
        <sz val="11"/>
        <color theme="1"/>
        <rFont val="Calibri"/>
        <family val="2"/>
        <charset val="1"/>
      </rPr>
      <t>AFE</t>
    </r>
    <r>
      <rPr>
        <sz val="11"/>
        <color theme="1"/>
        <rFont val="Noto Sans CJK SC"/>
        <family val="2"/>
      </rPr>
      <t>电池监控芯片</t>
    </r>
  </si>
  <si>
    <t>BQ7692003PWR</t>
  </si>
  <si>
    <t>TSSOP-20</t>
  </si>
  <si>
    <r>
      <rPr>
        <sz val="11"/>
        <color theme="1"/>
        <rFont val="Calibri"/>
        <family val="2"/>
        <charset val="1"/>
      </rPr>
      <t>5</t>
    </r>
    <r>
      <rPr>
        <sz val="11"/>
        <color theme="1"/>
        <rFont val="Noto Sans CJK SC"/>
        <family val="2"/>
      </rPr>
      <t>串</t>
    </r>
    <r>
      <rPr>
        <sz val="11"/>
        <color theme="1"/>
        <rFont val="Calibri"/>
        <family val="2"/>
        <charset val="1"/>
      </rPr>
      <t>AFE 0x08</t>
    </r>
    <r>
      <rPr>
        <sz val="11"/>
        <color theme="1"/>
        <rFont val="Noto Sans CJK SC"/>
        <family val="2"/>
      </rPr>
      <t xml:space="preserve">地址 </t>
    </r>
    <r>
      <rPr>
        <sz val="11"/>
        <color theme="1"/>
        <rFont val="Calibri"/>
        <family val="2"/>
        <charset val="1"/>
      </rPr>
      <t>3.3V LDO</t>
    </r>
  </si>
  <si>
    <t>已采购</t>
  </si>
  <si>
    <t>C100856</t>
  </si>
  <si>
    <t>U3</t>
  </si>
  <si>
    <t>电量计芯片</t>
  </si>
  <si>
    <t>Impedance Track SOC/SOH</t>
  </si>
  <si>
    <t>★待补购★</t>
  </si>
  <si>
    <t>U4</t>
  </si>
  <si>
    <r>
      <rPr>
        <sz val="11"/>
        <color theme="1"/>
        <rFont val="Calibri"/>
        <family val="2"/>
        <charset val="1"/>
      </rPr>
      <t>CAN</t>
    </r>
    <r>
      <rPr>
        <sz val="11"/>
        <color theme="1"/>
        <rFont val="Noto Sans CJK SC"/>
        <family val="2"/>
      </rPr>
      <t>收发器</t>
    </r>
  </si>
  <si>
    <t>TJA1042T/3</t>
  </si>
  <si>
    <r>
      <rPr>
        <sz val="11"/>
        <color theme="1"/>
        <rFont val="Calibri"/>
        <family val="2"/>
        <charset val="1"/>
      </rPr>
      <t>3.3V</t>
    </r>
    <r>
      <rPr>
        <sz val="11"/>
        <color theme="1"/>
        <rFont val="Noto Sans CJK SC"/>
        <family val="2"/>
      </rPr>
      <t>兼容</t>
    </r>
    <r>
      <rPr>
        <sz val="11"/>
        <color theme="1"/>
        <rFont val="Calibri"/>
        <family val="2"/>
        <charset val="1"/>
      </rPr>
      <t>CAN PHY</t>
    </r>
  </si>
  <si>
    <t>U5</t>
  </si>
  <si>
    <r>
      <rPr>
        <sz val="11"/>
        <color theme="1"/>
        <rFont val="Calibri"/>
        <family val="2"/>
        <charset val="1"/>
      </rPr>
      <t>L610-4G</t>
    </r>
    <r>
      <rPr>
        <sz val="11"/>
        <color theme="1"/>
        <rFont val="Noto Sans CJK SC"/>
        <family val="2"/>
      </rPr>
      <t>模组扩展板</t>
    </r>
  </si>
  <si>
    <t>ADP-L610-Arduino</t>
  </si>
  <si>
    <t>成品板</t>
  </si>
  <si>
    <r>
      <rPr>
        <sz val="11"/>
        <color theme="1"/>
        <rFont val="Calibri"/>
        <family val="2"/>
        <charset val="1"/>
      </rPr>
      <t>4G</t>
    </r>
    <r>
      <rPr>
        <sz val="11"/>
        <color theme="1"/>
        <rFont val="Noto Sans CJK SC"/>
        <family val="2"/>
      </rPr>
      <t>通信</t>
    </r>
  </si>
  <si>
    <t>外购成品板</t>
  </si>
  <si>
    <t>U6</t>
  </si>
  <si>
    <t>DC-DC #1</t>
  </si>
  <si>
    <r>
      <rPr>
        <sz val="11"/>
        <color theme="1"/>
        <rFont val="Calibri"/>
        <family val="2"/>
        <charset val="1"/>
      </rPr>
      <t xml:space="preserve">4V/2A </t>
    </r>
    <r>
      <rPr>
        <sz val="11"/>
        <color theme="1"/>
        <rFont val="Noto Sans CJK SC"/>
        <family val="2"/>
      </rPr>
      <t>给</t>
    </r>
    <r>
      <rPr>
        <sz val="11"/>
        <color theme="1"/>
        <rFont val="Calibri"/>
        <family val="2"/>
        <charset val="1"/>
      </rPr>
      <t>L610</t>
    </r>
    <r>
      <rPr>
        <sz val="11"/>
        <color theme="1"/>
        <rFont val="Noto Sans CJK SC"/>
        <family val="2"/>
      </rPr>
      <t>供电</t>
    </r>
  </si>
  <si>
    <t>U7</t>
  </si>
  <si>
    <t>DC-DC #2</t>
  </si>
  <si>
    <r>
      <rPr>
        <sz val="11"/>
        <color theme="1"/>
        <rFont val="Calibri"/>
        <family val="2"/>
        <charset val="1"/>
      </rPr>
      <t xml:space="preserve">5V/1A </t>
    </r>
    <r>
      <rPr>
        <sz val="11"/>
        <color theme="1"/>
        <rFont val="Noto Sans CJK SC"/>
        <family val="2"/>
      </rPr>
      <t>给主板</t>
    </r>
  </si>
  <si>
    <t>U8</t>
  </si>
  <si>
    <t>LDO</t>
  </si>
  <si>
    <t>AMS1117-3.3</t>
  </si>
  <si>
    <t>SOT-223</t>
  </si>
  <si>
    <r>
      <rPr>
        <sz val="11"/>
        <color theme="1"/>
        <rFont val="Calibri"/>
        <family val="2"/>
        <charset val="1"/>
      </rPr>
      <t xml:space="preserve">5V→3.3V </t>
    </r>
    <r>
      <rPr>
        <sz val="11"/>
        <color theme="1"/>
        <rFont val="Noto Sans CJK SC"/>
        <family val="2"/>
      </rPr>
      <t>给</t>
    </r>
    <r>
      <rPr>
        <sz val="11"/>
        <color theme="1"/>
        <rFont val="Calibri"/>
        <family val="2"/>
        <charset val="1"/>
      </rPr>
      <t>MCU</t>
    </r>
  </si>
  <si>
    <t>U10</t>
  </si>
  <si>
    <r>
      <rPr>
        <sz val="11"/>
        <color theme="1"/>
        <rFont val="Calibri"/>
        <family val="2"/>
        <charset val="1"/>
      </rPr>
      <t>TFT LCD</t>
    </r>
    <r>
      <rPr>
        <sz val="11"/>
        <color theme="1"/>
        <rFont val="Noto Sans CJK SC"/>
        <family val="2"/>
      </rPr>
      <t>显示屏</t>
    </r>
  </si>
  <si>
    <r>
      <rPr>
        <sz val="11"/>
        <color theme="1"/>
        <rFont val="Calibri"/>
        <family val="2"/>
        <charset val="1"/>
      </rPr>
      <t>ST7735 1.8</t>
    </r>
    <r>
      <rPr>
        <sz val="11"/>
        <color theme="1"/>
        <rFont val="Noto Sans CJK SC"/>
        <family val="2"/>
      </rPr>
      <t xml:space="preserve">寸 </t>
    </r>
    <r>
      <rPr>
        <sz val="11"/>
        <color theme="1"/>
        <rFont val="Calibri"/>
        <family val="2"/>
        <charset val="1"/>
      </rPr>
      <t>SPI</t>
    </r>
  </si>
  <si>
    <t>FPC</t>
  </si>
  <si>
    <t>电池信息显示</t>
  </si>
  <si>
    <r>
      <rPr>
        <sz val="11"/>
        <color theme="1"/>
        <rFont val="Noto Sans CJK SC"/>
        <family val="2"/>
      </rPr>
      <t>已采购</t>
    </r>
    <r>
      <rPr>
        <sz val="11"/>
        <color theme="1"/>
        <rFont val="Calibri"/>
        <family val="2"/>
        <charset val="1"/>
      </rPr>
      <t>(HS180S10B)</t>
    </r>
  </si>
  <si>
    <t>U11</t>
  </si>
  <si>
    <r>
      <rPr>
        <sz val="11"/>
        <color theme="1"/>
        <rFont val="Calibri"/>
        <family val="2"/>
        <charset val="1"/>
      </rPr>
      <t>USB-TTL</t>
    </r>
    <r>
      <rPr>
        <sz val="11"/>
        <color theme="1"/>
        <rFont val="Noto Sans CJK SC"/>
        <family val="2"/>
      </rPr>
      <t>转换芯片</t>
    </r>
  </si>
  <si>
    <t>CH340G</t>
  </si>
  <si>
    <t>SOP-16</t>
  </si>
  <si>
    <t>调试串口</t>
  </si>
  <si>
    <t>Q1</t>
  </si>
  <si>
    <r>
      <rPr>
        <sz val="11"/>
        <color theme="1"/>
        <rFont val="Noto Sans CJK SC"/>
        <family val="2"/>
      </rPr>
      <t>放电</t>
    </r>
    <r>
      <rPr>
        <sz val="11"/>
        <color theme="1"/>
        <rFont val="Calibri"/>
        <family val="2"/>
        <charset val="1"/>
      </rPr>
      <t>MOS</t>
    </r>
  </si>
  <si>
    <t>DPAK/TO-252</t>
  </si>
  <si>
    <t>DSG_FET 40V/30A</t>
  </si>
  <si>
    <t>Q2</t>
  </si>
  <si>
    <r>
      <rPr>
        <sz val="11"/>
        <color theme="1"/>
        <rFont val="Noto Sans CJK SC"/>
        <family val="2"/>
      </rPr>
      <t>充电</t>
    </r>
    <r>
      <rPr>
        <sz val="11"/>
        <color theme="1"/>
        <rFont val="Calibri"/>
        <family val="2"/>
        <charset val="1"/>
      </rPr>
      <t>MOS</t>
    </r>
  </si>
  <si>
    <t>CHG_FET 40V/30A</t>
  </si>
  <si>
    <t>Q3</t>
  </si>
  <si>
    <t>蜂鸣器三极管</t>
  </si>
  <si>
    <t>S8050</t>
  </si>
  <si>
    <t>NPN 0.5A</t>
  </si>
  <si>
    <t>BZ1</t>
  </si>
  <si>
    <t>有源蜂鸣器</t>
  </si>
  <si>
    <t>9×11mm 3-5V</t>
  </si>
  <si>
    <t>告警提示</t>
  </si>
  <si>
    <t>F1</t>
  </si>
  <si>
    <t>自恢复保险丝</t>
  </si>
  <si>
    <t>BSMD2920-300-33V</t>
  </si>
  <si>
    <t>2920</t>
  </si>
  <si>
    <r>
      <rPr>
        <sz val="11"/>
        <color theme="1"/>
        <rFont val="Calibri"/>
        <family val="2"/>
        <charset val="1"/>
      </rPr>
      <t>3A</t>
    </r>
    <r>
      <rPr>
        <sz val="11"/>
        <color theme="1"/>
        <rFont val="Noto Sans CJK SC"/>
        <family val="2"/>
      </rPr>
      <t>过流保护</t>
    </r>
  </si>
  <si>
    <t>D1</t>
  </si>
  <si>
    <r>
      <rPr>
        <sz val="11"/>
        <color theme="1"/>
        <rFont val="Noto Sans CJK SC"/>
        <family val="2"/>
      </rPr>
      <t>电池端口</t>
    </r>
    <r>
      <rPr>
        <sz val="11"/>
        <color theme="1"/>
        <rFont val="Calibri"/>
        <family val="2"/>
        <charset val="1"/>
      </rPr>
      <t>TVS</t>
    </r>
  </si>
  <si>
    <t>SMBJ24A</t>
  </si>
  <si>
    <t>SMB</t>
  </si>
  <si>
    <t>电池端口防浪涌</t>
  </si>
  <si>
    <t>D2</t>
  </si>
  <si>
    <r>
      <rPr>
        <sz val="11"/>
        <color theme="1"/>
        <rFont val="Calibri"/>
        <family val="2"/>
        <charset val="1"/>
      </rPr>
      <t>CAN</t>
    </r>
    <r>
      <rPr>
        <sz val="11"/>
        <color theme="1"/>
        <rFont val="Noto Sans CJK SC"/>
        <family val="2"/>
      </rPr>
      <t>总线</t>
    </r>
    <r>
      <rPr>
        <sz val="11"/>
        <color theme="1"/>
        <rFont val="Calibri"/>
        <family val="2"/>
        <charset val="1"/>
      </rPr>
      <t>TVS</t>
    </r>
  </si>
  <si>
    <r>
      <rPr>
        <sz val="11"/>
        <color theme="1"/>
        <rFont val="Calibri"/>
        <family val="2"/>
        <charset val="1"/>
      </rPr>
      <t>CAN</t>
    </r>
    <r>
      <rPr>
        <sz val="11"/>
        <color theme="1"/>
        <rFont val="Noto Sans CJK SC"/>
        <family val="2"/>
      </rPr>
      <t>总线防雷</t>
    </r>
  </si>
  <si>
    <t>D3</t>
  </si>
  <si>
    <t>电感反向保护</t>
  </si>
  <si>
    <t>R1-R6</t>
  </si>
  <si>
    <r>
      <rPr>
        <sz val="11"/>
        <color theme="1"/>
        <rFont val="Calibri"/>
        <family val="2"/>
        <charset val="1"/>
      </rPr>
      <t>VC</t>
    </r>
    <r>
      <rPr>
        <sz val="11"/>
        <color theme="1"/>
        <rFont val="Noto Sans CJK SC"/>
        <family val="2"/>
      </rPr>
      <t>采样串联</t>
    </r>
  </si>
  <si>
    <t>100Ω 1% 0805</t>
  </si>
  <si>
    <r>
      <rPr>
        <sz val="11"/>
        <color theme="1"/>
        <rFont val="Calibri"/>
        <family val="2"/>
        <charset val="1"/>
      </rPr>
      <t>BQ76920 VC0-VC5 + BAT</t>
    </r>
    <r>
      <rPr>
        <sz val="11"/>
        <color theme="1"/>
        <rFont val="Noto Sans CJK SC"/>
        <family val="2"/>
      </rPr>
      <t>输入</t>
    </r>
  </si>
  <si>
    <t>R7</t>
  </si>
  <si>
    <r>
      <rPr>
        <sz val="11"/>
        <color theme="1"/>
        <rFont val="Calibri"/>
        <family val="2"/>
        <charset val="1"/>
      </rPr>
      <t>REGSRC</t>
    </r>
    <r>
      <rPr>
        <sz val="11"/>
        <color theme="1"/>
        <rFont val="Noto Sans CJK SC"/>
        <family val="2"/>
      </rPr>
      <t>滤波</t>
    </r>
  </si>
  <si>
    <r>
      <rPr>
        <sz val="11"/>
        <color theme="1"/>
        <rFont val="Calibri"/>
        <family val="2"/>
        <charset val="1"/>
      </rPr>
      <t>BQ76920 LDO</t>
    </r>
    <r>
      <rPr>
        <sz val="11"/>
        <color theme="1"/>
        <rFont val="Noto Sans CJK SC"/>
        <family val="2"/>
      </rPr>
      <t>输入</t>
    </r>
  </si>
  <si>
    <t>R8-R11</t>
  </si>
  <si>
    <r>
      <rPr>
        <sz val="11"/>
        <color theme="1"/>
        <rFont val="Calibri"/>
        <family val="2"/>
        <charset val="1"/>
      </rPr>
      <t>SR</t>
    </r>
    <r>
      <rPr>
        <sz val="11"/>
        <color theme="1"/>
        <rFont val="Noto Sans CJK SC"/>
        <family val="2"/>
      </rPr>
      <t>滤波</t>
    </r>
  </si>
  <si>
    <r>
      <rPr>
        <sz val="11"/>
        <color theme="1"/>
        <rFont val="Calibri"/>
        <family val="2"/>
        <charset val="1"/>
      </rPr>
      <t>SRP/SRN</t>
    </r>
    <r>
      <rPr>
        <sz val="11"/>
        <color theme="1"/>
        <rFont val="Noto Sans CJK SC"/>
        <family val="2"/>
      </rPr>
      <t>差分滤波</t>
    </r>
  </si>
  <si>
    <t>R12-R16</t>
  </si>
  <si>
    <t>均衡电阻</t>
  </si>
  <si>
    <t>100Ω 5% 1W 2010</t>
  </si>
  <si>
    <r>
      <rPr>
        <sz val="11"/>
        <color theme="1"/>
        <rFont val="Calibri"/>
        <family val="2"/>
        <charset val="1"/>
      </rPr>
      <t>BQ76920</t>
    </r>
    <r>
      <rPr>
        <sz val="11"/>
        <color theme="1"/>
        <rFont val="Noto Sans CJK SC"/>
        <family val="2"/>
      </rPr>
      <t>外部均衡</t>
    </r>
  </si>
  <si>
    <t>R17</t>
  </si>
  <si>
    <r>
      <rPr>
        <sz val="11"/>
        <color theme="1"/>
        <rFont val="Calibri"/>
        <family val="2"/>
        <charset val="1"/>
      </rPr>
      <t>I²C SCL</t>
    </r>
    <r>
      <rPr>
        <sz val="11"/>
        <color theme="1"/>
        <rFont val="Noto Sans CJK SC"/>
        <family val="2"/>
      </rPr>
      <t>上拉</t>
    </r>
  </si>
  <si>
    <t>4.7kΩ 1% 0805</t>
  </si>
  <si>
    <r>
      <rPr>
        <sz val="11"/>
        <color theme="1"/>
        <rFont val="Calibri"/>
        <family val="2"/>
        <charset val="1"/>
      </rPr>
      <t>I²C</t>
    </r>
    <r>
      <rPr>
        <sz val="11"/>
        <color theme="1"/>
        <rFont val="Noto Sans CJK SC"/>
        <family val="2"/>
      </rPr>
      <t>总线上拉</t>
    </r>
  </si>
  <si>
    <t>R18</t>
  </si>
  <si>
    <r>
      <rPr>
        <sz val="11"/>
        <color theme="1"/>
        <rFont val="Calibri"/>
        <family val="2"/>
        <charset val="1"/>
      </rPr>
      <t>I²C SDA</t>
    </r>
    <r>
      <rPr>
        <sz val="11"/>
        <color theme="1"/>
        <rFont val="Noto Sans CJK SC"/>
        <family val="2"/>
      </rPr>
      <t>上拉</t>
    </r>
  </si>
  <si>
    <t>R19</t>
  </si>
  <si>
    <r>
      <rPr>
        <sz val="11"/>
        <color theme="1"/>
        <rFont val="Calibri"/>
        <family val="2"/>
        <charset val="1"/>
      </rPr>
      <t>DSG</t>
    </r>
    <r>
      <rPr>
        <sz val="11"/>
        <color theme="1"/>
        <rFont val="Noto Sans CJK SC"/>
        <family val="2"/>
      </rPr>
      <t>栅源下拉</t>
    </r>
  </si>
  <si>
    <t>10kΩ 5% 0805</t>
  </si>
  <si>
    <r>
      <rPr>
        <sz val="11"/>
        <color theme="1"/>
        <rFont val="Calibri"/>
        <family val="2"/>
        <charset val="1"/>
      </rPr>
      <t>MOS</t>
    </r>
    <r>
      <rPr>
        <sz val="11"/>
        <color theme="1"/>
        <rFont val="Noto Sans CJK SC"/>
        <family val="2"/>
      </rPr>
      <t>关断保护</t>
    </r>
  </si>
  <si>
    <t>R20</t>
  </si>
  <si>
    <r>
      <rPr>
        <sz val="11"/>
        <color theme="1"/>
        <rFont val="Calibri"/>
        <family val="2"/>
        <charset val="1"/>
      </rPr>
      <t>CHG</t>
    </r>
    <r>
      <rPr>
        <sz val="11"/>
        <color theme="1"/>
        <rFont val="Noto Sans CJK SC"/>
        <family val="2"/>
      </rPr>
      <t>栅源下拉</t>
    </r>
  </si>
  <si>
    <t>R21</t>
  </si>
  <si>
    <r>
      <rPr>
        <sz val="11"/>
        <color theme="1"/>
        <rFont val="Calibri"/>
        <family val="2"/>
        <charset val="1"/>
      </rPr>
      <t>ALERT</t>
    </r>
    <r>
      <rPr>
        <sz val="11"/>
        <color theme="1"/>
        <rFont val="Noto Sans CJK SC"/>
        <family val="2"/>
      </rPr>
      <t>下拉</t>
    </r>
  </si>
  <si>
    <t>1MΩ 5% 0805</t>
  </si>
  <si>
    <r>
      <rPr>
        <sz val="11"/>
        <color theme="1"/>
        <rFont val="Calibri"/>
        <family val="2"/>
        <charset val="1"/>
      </rPr>
      <t>BQ76920 ALERT</t>
    </r>
    <r>
      <rPr>
        <sz val="11"/>
        <color theme="1"/>
        <rFont val="Noto Sans CJK SC"/>
        <family val="2"/>
      </rPr>
      <t>必需⭐</t>
    </r>
  </si>
  <si>
    <t>R22</t>
  </si>
  <si>
    <r>
      <rPr>
        <sz val="11"/>
        <color theme="1"/>
        <rFont val="Calibri"/>
        <family val="2"/>
        <charset val="1"/>
      </rPr>
      <t>BQ34</t>
    </r>
    <r>
      <rPr>
        <sz val="11"/>
        <color theme="1"/>
        <rFont val="Noto Sans CJK SC"/>
        <family val="2"/>
      </rPr>
      <t>分压上臂</t>
    </r>
  </si>
  <si>
    <t>1.5MΩ 1% 0805</t>
  </si>
  <si>
    <r>
      <rPr>
        <sz val="11"/>
        <color theme="1"/>
        <rFont val="Calibri"/>
        <family val="2"/>
        <charset val="1"/>
      </rPr>
      <t xml:space="preserve">21V→0.9V </t>
    </r>
    <r>
      <rPr>
        <sz val="11"/>
        <color theme="1"/>
        <rFont val="Noto Sans CJK SC"/>
        <family val="2"/>
      </rPr>
      <t>关键</t>
    </r>
    <r>
      <rPr>
        <sz val="11"/>
        <color theme="1"/>
        <rFont val="Calibri"/>
        <family val="2"/>
        <charset val="1"/>
      </rPr>
      <t>!</t>
    </r>
  </si>
  <si>
    <t>R23</t>
  </si>
  <si>
    <r>
      <rPr>
        <sz val="11"/>
        <color theme="1"/>
        <rFont val="Calibri"/>
        <family val="2"/>
        <charset val="1"/>
      </rPr>
      <t>BQ34</t>
    </r>
    <r>
      <rPr>
        <sz val="11"/>
        <color theme="1"/>
        <rFont val="Noto Sans CJK SC"/>
        <family val="2"/>
      </rPr>
      <t>分压下臂</t>
    </r>
  </si>
  <si>
    <t>68kΩ 1% 0805</t>
  </si>
  <si>
    <t>R24-R26</t>
  </si>
  <si>
    <r>
      <rPr>
        <sz val="11"/>
        <color theme="1"/>
        <rFont val="Calibri"/>
        <family val="2"/>
        <charset val="1"/>
      </rPr>
      <t>NTC</t>
    </r>
    <r>
      <rPr>
        <sz val="11"/>
        <color theme="1"/>
        <rFont val="Noto Sans CJK SC"/>
        <family val="2"/>
      </rPr>
      <t>上拉</t>
    </r>
  </si>
  <si>
    <t>10kΩ 1% 0805</t>
  </si>
  <si>
    <r>
      <rPr>
        <sz val="11"/>
        <color theme="1"/>
        <rFont val="Calibri"/>
        <family val="2"/>
        <charset val="1"/>
      </rPr>
      <t>STM32 ADC NTC</t>
    </r>
    <r>
      <rPr>
        <sz val="11"/>
        <color theme="1"/>
        <rFont val="Noto Sans CJK SC"/>
        <family val="2"/>
      </rPr>
      <t>偏置</t>
    </r>
  </si>
  <si>
    <t>R27-R30</t>
  </si>
  <si>
    <t>按键上拉</t>
  </si>
  <si>
    <t>按键去抖</t>
  </si>
  <si>
    <t>R31</t>
  </si>
  <si>
    <r>
      <rPr>
        <sz val="11"/>
        <color theme="1"/>
        <rFont val="Noto Sans CJK SC"/>
        <family val="2"/>
      </rPr>
      <t>绿</t>
    </r>
    <r>
      <rPr>
        <sz val="11"/>
        <color theme="1"/>
        <rFont val="Calibri"/>
        <family val="2"/>
        <charset val="1"/>
      </rPr>
      <t>LED</t>
    </r>
    <r>
      <rPr>
        <sz val="11"/>
        <color theme="1"/>
        <rFont val="Noto Sans CJK SC"/>
        <family val="2"/>
      </rPr>
      <t>限流</t>
    </r>
  </si>
  <si>
    <t>510Ω 5% 0805</t>
  </si>
  <si>
    <r>
      <rPr>
        <sz val="11"/>
        <color theme="1"/>
        <rFont val="Calibri"/>
        <family val="2"/>
        <charset val="1"/>
      </rPr>
      <t>LED1</t>
    </r>
    <r>
      <rPr>
        <sz val="11"/>
        <color theme="1"/>
        <rFont val="Noto Sans CJK SC"/>
        <family val="2"/>
      </rPr>
      <t>限流</t>
    </r>
  </si>
  <si>
    <t>R32</t>
  </si>
  <si>
    <r>
      <rPr>
        <sz val="11"/>
        <color theme="1"/>
        <rFont val="Noto Sans CJK SC"/>
        <family val="2"/>
      </rPr>
      <t>红</t>
    </r>
    <r>
      <rPr>
        <sz val="11"/>
        <color theme="1"/>
        <rFont val="Calibri"/>
        <family val="2"/>
        <charset val="1"/>
      </rPr>
      <t>LED</t>
    </r>
    <r>
      <rPr>
        <sz val="11"/>
        <color theme="1"/>
        <rFont val="Noto Sans CJK SC"/>
        <family val="2"/>
      </rPr>
      <t>限流</t>
    </r>
  </si>
  <si>
    <r>
      <rPr>
        <sz val="11"/>
        <color theme="1"/>
        <rFont val="Calibri"/>
        <family val="2"/>
        <charset val="1"/>
      </rPr>
      <t>LED2</t>
    </r>
    <r>
      <rPr>
        <sz val="11"/>
        <color theme="1"/>
        <rFont val="Noto Sans CJK SC"/>
        <family val="2"/>
      </rPr>
      <t>限流</t>
    </r>
  </si>
  <si>
    <t>R33</t>
  </si>
  <si>
    <t>蜂鸣器基极</t>
  </si>
  <si>
    <t>1kΩ 1% 0805</t>
  </si>
  <si>
    <r>
      <rPr>
        <sz val="11"/>
        <color theme="1"/>
        <rFont val="Calibri"/>
        <family val="2"/>
        <charset val="1"/>
      </rPr>
      <t>S8050</t>
    </r>
    <r>
      <rPr>
        <sz val="11"/>
        <color theme="1"/>
        <rFont val="Noto Sans CJK SC"/>
        <family val="2"/>
      </rPr>
      <t>驱动</t>
    </r>
  </si>
  <si>
    <t>R34/R35</t>
  </si>
  <si>
    <r>
      <rPr>
        <sz val="11"/>
        <color theme="1"/>
        <rFont val="Calibri"/>
        <family val="2"/>
        <charset val="1"/>
      </rPr>
      <t>CAN</t>
    </r>
    <r>
      <rPr>
        <sz val="11"/>
        <color theme="1"/>
        <rFont val="Noto Sans CJK SC"/>
        <family val="2"/>
      </rPr>
      <t>终端</t>
    </r>
  </si>
  <si>
    <t>120Ω 1% 0805</t>
  </si>
  <si>
    <r>
      <rPr>
        <sz val="11"/>
        <color theme="1"/>
        <rFont val="Calibri"/>
        <family val="2"/>
        <charset val="1"/>
      </rPr>
      <t>CAN</t>
    </r>
    <r>
      <rPr>
        <sz val="11"/>
        <color theme="1"/>
        <rFont val="Noto Sans CJK SC"/>
        <family val="2"/>
      </rPr>
      <t>总线终端</t>
    </r>
  </si>
  <si>
    <t>R36</t>
  </si>
  <si>
    <r>
      <rPr>
        <sz val="11"/>
        <color theme="1"/>
        <rFont val="Calibri"/>
        <family val="2"/>
        <charset val="1"/>
      </rPr>
      <t>LCD</t>
    </r>
    <r>
      <rPr>
        <sz val="11"/>
        <color theme="1"/>
        <rFont val="Noto Sans CJK SC"/>
        <family val="2"/>
      </rPr>
      <t>背光</t>
    </r>
  </si>
  <si>
    <r>
      <rPr>
        <sz val="11"/>
        <color theme="1"/>
        <rFont val="Calibri"/>
        <family val="2"/>
        <charset val="1"/>
      </rPr>
      <t>LCD</t>
    </r>
    <r>
      <rPr>
        <sz val="11"/>
        <color theme="1"/>
        <rFont val="Noto Sans CJK SC"/>
        <family val="2"/>
      </rPr>
      <t>背光限流</t>
    </r>
  </si>
  <si>
    <t>R_FB1a</t>
  </si>
  <si>
    <r>
      <rPr>
        <sz val="11"/>
        <color theme="1"/>
        <rFont val="Calibri"/>
        <family val="2"/>
        <charset val="1"/>
      </rPr>
      <t>MP1584</t>
    </r>
    <r>
      <rPr>
        <sz val="11"/>
        <color theme="1"/>
        <rFont val="Noto Sans CJK SC"/>
        <family val="2"/>
      </rPr>
      <t>反馈</t>
    </r>
    <r>
      <rPr>
        <sz val="11"/>
        <color theme="1"/>
        <rFont val="Calibri"/>
        <family val="2"/>
        <charset val="1"/>
      </rPr>
      <t>(5V)</t>
    </r>
  </si>
  <si>
    <t>105kΩ 1% 0805</t>
  </si>
  <si>
    <r>
      <rPr>
        <sz val="11"/>
        <color theme="1"/>
        <rFont val="Calibri"/>
        <family val="2"/>
        <charset val="1"/>
      </rPr>
      <t>U7=5V</t>
    </r>
    <r>
      <rPr>
        <sz val="11"/>
        <color theme="1"/>
        <rFont val="Noto Sans CJK SC"/>
        <family val="2"/>
      </rPr>
      <t>设定</t>
    </r>
  </si>
  <si>
    <t>R_FB1b</t>
  </si>
  <si>
    <r>
      <rPr>
        <sz val="11"/>
        <color theme="1"/>
        <rFont val="Calibri"/>
        <family val="2"/>
        <charset val="1"/>
      </rPr>
      <t>MP1584</t>
    </r>
    <r>
      <rPr>
        <sz val="11"/>
        <color theme="1"/>
        <rFont val="Noto Sans CJK SC"/>
        <family val="2"/>
      </rPr>
      <t>反馈</t>
    </r>
    <r>
      <rPr>
        <sz val="11"/>
        <color theme="1"/>
        <rFont val="Calibri"/>
        <family val="2"/>
        <charset val="1"/>
      </rPr>
      <t>(4V)</t>
    </r>
  </si>
  <si>
    <t>80.6kΩ 1% 0805</t>
  </si>
  <si>
    <r>
      <rPr>
        <sz val="11"/>
        <color theme="1"/>
        <rFont val="Calibri"/>
        <family val="2"/>
        <charset val="1"/>
      </rPr>
      <t>U6=4V</t>
    </r>
    <r>
      <rPr>
        <sz val="11"/>
        <color theme="1"/>
        <rFont val="Noto Sans CJK SC"/>
        <family val="2"/>
      </rPr>
      <t>设定</t>
    </r>
  </si>
  <si>
    <t>R_FB2</t>
  </si>
  <si>
    <t>20kΩ 1% 0805</t>
  </si>
  <si>
    <r>
      <rPr>
        <sz val="11"/>
        <color theme="1"/>
        <rFont val="Calibri"/>
        <family val="2"/>
        <charset val="1"/>
      </rPr>
      <t>U6/U7</t>
    </r>
    <r>
      <rPr>
        <sz val="11"/>
        <color theme="1"/>
        <rFont val="Noto Sans CJK SC"/>
        <family val="2"/>
      </rPr>
      <t>共用</t>
    </r>
  </si>
  <si>
    <t>C1-C6</t>
  </si>
  <si>
    <r>
      <rPr>
        <sz val="11"/>
        <color theme="1"/>
        <rFont val="Calibri"/>
        <family val="2"/>
        <charset val="1"/>
      </rPr>
      <t>VC</t>
    </r>
    <r>
      <rPr>
        <sz val="11"/>
        <color theme="1"/>
        <rFont val="Noto Sans CJK SC"/>
        <family val="2"/>
      </rPr>
      <t>旁路电容</t>
    </r>
  </si>
  <si>
    <t>1µF 25V X7R 0805</t>
  </si>
  <si>
    <r>
      <rPr>
        <sz val="11"/>
        <color theme="1"/>
        <rFont val="Calibri"/>
        <family val="2"/>
        <charset val="1"/>
      </rPr>
      <t>BQ76920 VC</t>
    </r>
    <r>
      <rPr>
        <sz val="11"/>
        <color theme="1"/>
        <rFont val="Noto Sans CJK SC"/>
        <family val="2"/>
      </rPr>
      <t>差分滤波</t>
    </r>
  </si>
  <si>
    <t>C7</t>
  </si>
  <si>
    <t>10µF 25V X5R 0805</t>
  </si>
  <si>
    <t>C8</t>
  </si>
  <si>
    <t>BQ CAP1</t>
  </si>
  <si>
    <t>1µF 16V X7R 0805</t>
  </si>
  <si>
    <r>
      <rPr>
        <sz val="11"/>
        <color theme="1"/>
        <rFont val="Calibri"/>
        <family val="2"/>
        <charset val="1"/>
      </rPr>
      <t xml:space="preserve">BQ76920 </t>
    </r>
    <r>
      <rPr>
        <sz val="11"/>
        <color theme="1"/>
        <rFont val="Noto Sans CJK SC"/>
        <family val="2"/>
      </rPr>
      <t>内部电荷泵必需⭐</t>
    </r>
  </si>
  <si>
    <t>C9</t>
  </si>
  <si>
    <t>BQ REGOUT</t>
  </si>
  <si>
    <r>
      <rPr>
        <sz val="11"/>
        <color theme="1"/>
        <rFont val="Calibri"/>
        <family val="2"/>
        <charset val="1"/>
      </rPr>
      <t>BQ76920 LDO</t>
    </r>
    <r>
      <rPr>
        <sz val="11"/>
        <color theme="1"/>
        <rFont val="Noto Sans CJK SC"/>
        <family val="2"/>
      </rPr>
      <t>输出</t>
    </r>
  </si>
  <si>
    <t>C10/C11</t>
  </si>
  <si>
    <r>
      <rPr>
        <sz val="11"/>
        <color theme="1"/>
        <rFont val="Calibri"/>
        <family val="2"/>
        <charset val="1"/>
      </rPr>
      <t>SR</t>
    </r>
    <r>
      <rPr>
        <sz val="11"/>
        <color theme="1"/>
        <rFont val="Noto Sans CJK SC"/>
        <family val="2"/>
      </rPr>
      <t>差分电容</t>
    </r>
  </si>
  <si>
    <t>100nF 16V X7R 0603</t>
  </si>
  <si>
    <t>0603</t>
  </si>
  <si>
    <r>
      <rPr>
        <sz val="11"/>
        <color theme="1"/>
        <rFont val="Calibri"/>
        <family val="2"/>
        <charset val="1"/>
      </rPr>
      <t>SRP-SRN</t>
    </r>
    <r>
      <rPr>
        <sz val="11"/>
        <color theme="1"/>
        <rFont val="Noto Sans CJK SC"/>
        <family val="2"/>
      </rPr>
      <t>跨接</t>
    </r>
  </si>
  <si>
    <t>C12</t>
  </si>
  <si>
    <r>
      <rPr>
        <sz val="11"/>
        <color theme="1"/>
        <rFont val="Calibri"/>
        <family val="2"/>
        <charset val="1"/>
      </rPr>
      <t>BQ34 REGIN</t>
    </r>
    <r>
      <rPr>
        <sz val="11"/>
        <color theme="1"/>
        <rFont val="Noto Sans CJK SC"/>
        <family val="2"/>
      </rPr>
      <t>退耦</t>
    </r>
  </si>
  <si>
    <t>100nF 0805</t>
  </si>
  <si>
    <t>C13</t>
  </si>
  <si>
    <r>
      <rPr>
        <sz val="11"/>
        <color theme="1"/>
        <rFont val="Calibri"/>
        <family val="2"/>
        <charset val="1"/>
      </rPr>
      <t>BQ34 REG25</t>
    </r>
    <r>
      <rPr>
        <sz val="11"/>
        <color theme="1"/>
        <rFont val="Noto Sans CJK SC"/>
        <family val="2"/>
      </rPr>
      <t>退耦</t>
    </r>
  </si>
  <si>
    <t>1µF 0805</t>
  </si>
  <si>
    <r>
      <rPr>
        <sz val="11"/>
        <color theme="1"/>
        <rFont val="Calibri"/>
        <family val="2"/>
        <charset val="1"/>
      </rPr>
      <t>BQ34Z100</t>
    </r>
    <r>
      <rPr>
        <sz val="11"/>
        <color theme="1"/>
        <rFont val="Noto Sans CJK SC"/>
        <family val="2"/>
      </rPr>
      <t>必需⭐</t>
    </r>
  </si>
  <si>
    <t>C14</t>
  </si>
  <si>
    <r>
      <rPr>
        <sz val="11"/>
        <color theme="1"/>
        <rFont val="Calibri"/>
        <family val="2"/>
        <charset val="1"/>
      </rPr>
      <t>BQ34 BAT</t>
    </r>
    <r>
      <rPr>
        <sz val="11"/>
        <color theme="1"/>
        <rFont val="Noto Sans CJK SC"/>
        <family val="2"/>
      </rPr>
      <t>滤波</t>
    </r>
  </si>
  <si>
    <r>
      <rPr>
        <sz val="11"/>
        <color theme="1"/>
        <rFont val="Noto Sans CJK SC"/>
        <family val="2"/>
      </rPr>
      <t>分压点</t>
    </r>
    <r>
      <rPr>
        <sz val="11"/>
        <color theme="1"/>
        <rFont val="Calibri"/>
        <family val="2"/>
        <charset val="1"/>
      </rPr>
      <t>ADC</t>
    </r>
    <r>
      <rPr>
        <sz val="11"/>
        <color theme="1"/>
        <rFont val="Noto Sans CJK SC"/>
        <family val="2"/>
      </rPr>
      <t>滤波</t>
    </r>
  </si>
  <si>
    <t>C25-C28</t>
  </si>
  <si>
    <r>
      <rPr>
        <sz val="11"/>
        <color theme="1"/>
        <rFont val="Calibri"/>
        <family val="2"/>
        <charset val="1"/>
      </rPr>
      <t>MP1584</t>
    </r>
    <r>
      <rPr>
        <sz val="11"/>
        <color theme="1"/>
        <rFont val="Noto Sans CJK SC"/>
        <family val="2"/>
      </rPr>
      <t>输入输出</t>
    </r>
  </si>
  <si>
    <t>22µF 16V X5R 0805</t>
  </si>
  <si>
    <r>
      <rPr>
        <sz val="11"/>
        <color theme="1"/>
        <rFont val="Calibri"/>
        <family val="2"/>
        <charset val="1"/>
      </rPr>
      <t>MP1584</t>
    </r>
    <r>
      <rPr>
        <sz val="11"/>
        <color theme="1"/>
        <rFont val="Noto Sans CJK SC"/>
        <family val="2"/>
      </rPr>
      <t>必需</t>
    </r>
  </si>
  <si>
    <t>C29</t>
  </si>
  <si>
    <r>
      <rPr>
        <sz val="11"/>
        <color theme="1"/>
        <rFont val="Calibri"/>
        <family val="2"/>
        <charset val="1"/>
      </rPr>
      <t>L610</t>
    </r>
    <r>
      <rPr>
        <sz val="11"/>
        <color theme="1"/>
        <rFont val="Noto Sans CJK SC"/>
        <family val="2"/>
      </rPr>
      <t>大缓冲</t>
    </r>
  </si>
  <si>
    <r>
      <rPr>
        <sz val="11"/>
        <color theme="1"/>
        <rFont val="Calibri"/>
        <family val="2"/>
        <charset val="1"/>
      </rPr>
      <t xml:space="preserve">100µF 25V </t>
    </r>
    <r>
      <rPr>
        <sz val="11"/>
        <color theme="1"/>
        <rFont val="Noto Sans CJK SC"/>
        <family val="2"/>
      </rPr>
      <t>电解</t>
    </r>
  </si>
  <si>
    <t>Φ6.3</t>
  </si>
  <si>
    <r>
      <rPr>
        <sz val="11"/>
        <color theme="1"/>
        <rFont val="Calibri"/>
        <family val="2"/>
        <charset val="1"/>
      </rPr>
      <t>L610</t>
    </r>
    <r>
      <rPr>
        <sz val="11"/>
        <color theme="1"/>
        <rFont val="Noto Sans CJK SC"/>
        <family val="2"/>
      </rPr>
      <t>突发</t>
    </r>
    <r>
      <rPr>
        <sz val="11"/>
        <color theme="1"/>
        <rFont val="Calibri"/>
        <family val="2"/>
        <charset val="1"/>
      </rPr>
      <t>1.8A⭐</t>
    </r>
  </si>
  <si>
    <t>C23</t>
  </si>
  <si>
    <t>4.7µF 0805</t>
  </si>
  <si>
    <t>C24</t>
  </si>
  <si>
    <r>
      <rPr>
        <sz val="11"/>
        <color theme="1"/>
        <rFont val="Calibri"/>
        <family val="2"/>
        <charset val="1"/>
      </rPr>
      <t>AMS1117</t>
    </r>
    <r>
      <rPr>
        <sz val="11"/>
        <color theme="1"/>
        <rFont val="Noto Sans CJK SC"/>
        <family val="2"/>
      </rPr>
      <t>输出</t>
    </r>
  </si>
  <si>
    <t>22µF 16V 0805</t>
  </si>
  <si>
    <t>L1/L2</t>
  </si>
  <si>
    <r>
      <rPr>
        <sz val="11"/>
        <color theme="1"/>
        <rFont val="Calibri"/>
        <family val="2"/>
        <charset val="1"/>
      </rPr>
      <t>MP1584</t>
    </r>
    <r>
      <rPr>
        <sz val="11"/>
        <color theme="1"/>
        <rFont val="Noto Sans CJK SC"/>
        <family val="2"/>
      </rPr>
      <t>输出电感</t>
    </r>
  </si>
  <si>
    <t>22µH 2A SLF7045</t>
  </si>
  <si>
    <t>7045</t>
  </si>
  <si>
    <r>
      <rPr>
        <sz val="11"/>
        <color theme="1"/>
        <rFont val="Calibri"/>
        <family val="2"/>
        <charset val="1"/>
      </rPr>
      <t>DC-DC</t>
    </r>
    <r>
      <rPr>
        <sz val="11"/>
        <color theme="1"/>
        <rFont val="Noto Sans CJK SC"/>
        <family val="2"/>
      </rPr>
      <t>输出滤波⭐</t>
    </r>
  </si>
  <si>
    <t>J1</t>
  </si>
  <si>
    <r>
      <rPr>
        <sz val="11"/>
        <color theme="1"/>
        <rFont val="Calibri"/>
        <family val="2"/>
        <charset val="1"/>
      </rPr>
      <t>PACK</t>
    </r>
    <r>
      <rPr>
        <sz val="11"/>
        <color theme="1"/>
        <rFont val="Noto Sans CJK SC"/>
        <family val="2"/>
      </rPr>
      <t>接口</t>
    </r>
  </si>
  <si>
    <t>KF128-5.0-2P</t>
  </si>
  <si>
    <t>PACK+/PACK-</t>
  </si>
  <si>
    <t>J2</t>
  </si>
  <si>
    <t>电池接口</t>
  </si>
  <si>
    <t>KF128-2.54-6P</t>
  </si>
  <si>
    <r>
      <rPr>
        <sz val="11"/>
        <color theme="1"/>
        <rFont val="Calibri"/>
        <family val="2"/>
        <charset val="1"/>
      </rPr>
      <t>5</t>
    </r>
    <r>
      <rPr>
        <sz val="11"/>
        <color theme="1"/>
        <rFont val="Noto Sans CJK SC"/>
        <family val="2"/>
      </rPr>
      <t>串平衡线⭐</t>
    </r>
  </si>
  <si>
    <t>J3</t>
  </si>
  <si>
    <r>
      <rPr>
        <sz val="11"/>
        <color theme="1"/>
        <rFont val="Calibri"/>
        <family val="2"/>
        <charset val="1"/>
      </rPr>
      <t>CAN+</t>
    </r>
    <r>
      <rPr>
        <sz val="11"/>
        <color theme="1"/>
        <rFont val="Noto Sans CJK SC"/>
        <family val="2"/>
      </rPr>
      <t>调试接口</t>
    </r>
  </si>
  <si>
    <r>
      <rPr>
        <sz val="11"/>
        <color theme="1"/>
        <rFont val="Calibri"/>
        <family val="2"/>
        <charset val="1"/>
      </rPr>
      <t xml:space="preserve">KF128-5.0-3P </t>
    </r>
    <r>
      <rPr>
        <sz val="11"/>
        <color theme="1"/>
        <rFont val="Noto Sans CJK SC"/>
        <family val="2"/>
      </rPr>
      <t>或排针</t>
    </r>
  </si>
  <si>
    <r>
      <rPr>
        <sz val="11"/>
        <color theme="1"/>
        <rFont val="Calibri"/>
        <family val="2"/>
        <charset val="1"/>
      </rPr>
      <t>CAN/</t>
    </r>
    <r>
      <rPr>
        <sz val="11"/>
        <color theme="1"/>
        <rFont val="Noto Sans CJK SC"/>
        <family val="2"/>
      </rPr>
      <t>调试</t>
    </r>
  </si>
  <si>
    <r>
      <rPr>
        <sz val="11"/>
        <color theme="1"/>
        <rFont val="Noto Sans CJK SC"/>
        <family val="2"/>
      </rPr>
      <t>可用已购</t>
    </r>
    <r>
      <rPr>
        <sz val="11"/>
        <color theme="1"/>
        <rFont val="Calibri"/>
        <family val="2"/>
        <charset val="1"/>
      </rPr>
      <t>3P</t>
    </r>
    <r>
      <rPr>
        <sz val="11"/>
        <color theme="1"/>
        <rFont val="Noto Sans CJK SC"/>
        <family val="2"/>
      </rPr>
      <t>端子</t>
    </r>
  </si>
  <si>
    <t>J4</t>
  </si>
  <si>
    <r>
      <rPr>
        <sz val="11"/>
        <color theme="1"/>
        <rFont val="Calibri"/>
        <family val="2"/>
        <charset val="1"/>
      </rPr>
      <t>SWD</t>
    </r>
    <r>
      <rPr>
        <sz val="11"/>
        <color theme="1"/>
        <rFont val="Noto Sans CJK SC"/>
        <family val="2"/>
      </rPr>
      <t>接口</t>
    </r>
  </si>
  <si>
    <r>
      <rPr>
        <sz val="11"/>
        <color theme="1"/>
        <rFont val="Noto Sans CJK SC"/>
        <family val="2"/>
      </rPr>
      <t>排针</t>
    </r>
    <r>
      <rPr>
        <sz val="11"/>
        <color theme="1"/>
        <rFont val="Calibri"/>
        <family val="2"/>
        <charset val="1"/>
      </rPr>
      <t>1×4</t>
    </r>
  </si>
  <si>
    <r>
      <rPr>
        <sz val="11"/>
        <color theme="1"/>
        <rFont val="Calibri"/>
        <family val="2"/>
        <charset val="1"/>
      </rPr>
      <t>STM32</t>
    </r>
    <r>
      <rPr>
        <sz val="11"/>
        <color theme="1"/>
        <rFont val="Noto Sans CJK SC"/>
        <family val="2"/>
      </rPr>
      <t>烧录调试</t>
    </r>
  </si>
  <si>
    <t>J5</t>
  </si>
  <si>
    <r>
      <rPr>
        <sz val="11"/>
        <color theme="1"/>
        <rFont val="Calibri"/>
        <family val="2"/>
        <charset val="1"/>
      </rPr>
      <t>L610</t>
    </r>
    <r>
      <rPr>
        <sz val="11"/>
        <color theme="1"/>
        <rFont val="Noto Sans CJK SC"/>
        <family val="2"/>
      </rPr>
      <t>接口</t>
    </r>
  </si>
  <si>
    <r>
      <rPr>
        <sz val="11"/>
        <color theme="1"/>
        <rFont val="Noto Sans CJK SC"/>
        <family val="2"/>
      </rPr>
      <t>排针</t>
    </r>
    <r>
      <rPr>
        <sz val="11"/>
        <color theme="1"/>
        <rFont val="Calibri"/>
        <family val="2"/>
        <charset val="1"/>
      </rPr>
      <t>1×6</t>
    </r>
  </si>
  <si>
    <r>
      <rPr>
        <sz val="11"/>
        <color theme="1"/>
        <rFont val="Calibri"/>
        <family val="2"/>
        <charset val="1"/>
      </rPr>
      <t>L610</t>
    </r>
    <r>
      <rPr>
        <sz val="11"/>
        <color theme="1"/>
        <rFont val="Noto Sans CJK SC"/>
        <family val="2"/>
      </rPr>
      <t>模组对接</t>
    </r>
  </si>
  <si>
    <t>LED1</t>
  </si>
  <si>
    <r>
      <rPr>
        <sz val="11"/>
        <color theme="1"/>
        <rFont val="Noto Sans CJK SC"/>
        <family val="2"/>
      </rPr>
      <t>绿色</t>
    </r>
    <r>
      <rPr>
        <sz val="11"/>
        <color theme="1"/>
        <rFont val="Calibri"/>
        <family val="2"/>
        <charset val="1"/>
      </rPr>
      <t>LED</t>
    </r>
  </si>
  <si>
    <r>
      <rPr>
        <sz val="11"/>
        <color theme="1"/>
        <rFont val="Calibri"/>
        <family val="2"/>
        <charset val="1"/>
      </rPr>
      <t xml:space="preserve">0805 LED </t>
    </r>
    <r>
      <rPr>
        <sz val="11"/>
        <color theme="1"/>
        <rFont val="Noto Sans CJK SC"/>
        <family val="2"/>
      </rPr>
      <t>绿</t>
    </r>
  </si>
  <si>
    <t>正常运行指示</t>
  </si>
  <si>
    <t>LED2</t>
  </si>
  <si>
    <r>
      <rPr>
        <sz val="11"/>
        <color theme="1"/>
        <rFont val="Noto Sans CJK SC"/>
        <family val="2"/>
      </rPr>
      <t>红色</t>
    </r>
    <r>
      <rPr>
        <sz val="11"/>
        <color theme="1"/>
        <rFont val="Calibri"/>
        <family val="2"/>
        <charset val="1"/>
      </rPr>
      <t>LED</t>
    </r>
  </si>
  <si>
    <r>
      <rPr>
        <sz val="11"/>
        <color theme="1"/>
        <rFont val="Calibri"/>
        <family val="2"/>
        <charset val="1"/>
      </rPr>
      <t xml:space="preserve">0805 LED </t>
    </r>
    <r>
      <rPr>
        <sz val="11"/>
        <color theme="1"/>
        <rFont val="Noto Sans CJK SC"/>
        <family val="2"/>
      </rPr>
      <t>红</t>
    </r>
  </si>
  <si>
    <t>告警指示</t>
  </si>
  <si>
    <t>NTC1-NTC3</t>
  </si>
  <si>
    <r>
      <rPr>
        <sz val="11"/>
        <color theme="1"/>
        <rFont val="Calibri"/>
        <family val="2"/>
        <charset val="1"/>
      </rPr>
      <t>NTC</t>
    </r>
    <r>
      <rPr>
        <sz val="11"/>
        <color theme="1"/>
        <rFont val="Noto Sans CJK SC"/>
        <family val="2"/>
      </rPr>
      <t>热敏电阻</t>
    </r>
  </si>
  <si>
    <t>10kΩ 103AT-2 0603</t>
  </si>
  <si>
    <t>电池温度采样</t>
  </si>
  <si>
    <r>
      <rPr>
        <sz val="11"/>
        <color theme="1"/>
        <rFont val="Noto Sans CJK SC"/>
        <family val="2"/>
      </rPr>
      <t>已采购</t>
    </r>
    <r>
      <rPr>
        <sz val="11"/>
        <color theme="1"/>
        <rFont val="Calibri"/>
        <family val="2"/>
        <charset val="1"/>
      </rPr>
      <t>(NCP15XH103F03RC)</t>
    </r>
  </si>
  <si>
    <t>SW1-SW4</t>
  </si>
  <si>
    <t>按键</t>
  </si>
  <si>
    <t>TS665CJ 6×3.5mm</t>
  </si>
  <si>
    <t>贴片</t>
  </si>
  <si>
    <r>
      <rPr>
        <sz val="11"/>
        <color theme="1"/>
        <rFont val="Noto Sans CJK SC"/>
        <family val="2"/>
      </rPr>
      <t>模式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确认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上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下</t>
    </r>
  </si>
  <si>
    <t>Rsns</t>
  </si>
  <si>
    <t>采样电阻⭐</t>
  </si>
  <si>
    <t>10mΩ 1% 3W 2512</t>
  </si>
  <si>
    <t>2512</t>
  </si>
  <si>
    <t>电流采样核心⭐⭐⭐</t>
  </si>
  <si>
    <r>
      <rPr>
        <sz val="11"/>
        <color theme="1"/>
        <rFont val="Noto Sans CJK SC"/>
        <family val="2"/>
      </rPr>
      <t>已采购</t>
    </r>
    <r>
      <rPr>
        <sz val="11"/>
        <color theme="1"/>
        <rFont val="Calibri"/>
        <family val="2"/>
        <charset val="1"/>
      </rPr>
      <t>(HoJLR2512)</t>
    </r>
  </si>
  <si>
    <t>备注</t>
  </si>
  <si>
    <r>
      <rPr>
        <sz val="11"/>
        <color theme="1"/>
        <rFont val="Calibri"/>
        <family val="2"/>
        <charset val="1"/>
      </rPr>
      <t>U2 - AFE</t>
    </r>
    <r>
      <rPr>
        <sz val="11"/>
        <color theme="1"/>
        <rFont val="Noto Sans CJK SC"/>
        <family val="2"/>
      </rPr>
      <t>主芯片</t>
    </r>
  </si>
  <si>
    <r>
      <rPr>
        <sz val="11"/>
        <color theme="1"/>
        <rFont val="Calibri"/>
        <family val="2"/>
        <charset val="1"/>
      </rPr>
      <t>0x08</t>
    </r>
    <r>
      <rPr>
        <sz val="11"/>
        <color theme="1"/>
        <rFont val="Noto Sans CJK SC"/>
        <family val="2"/>
      </rPr>
      <t>地址，</t>
    </r>
    <r>
      <rPr>
        <sz val="11"/>
        <color theme="1"/>
        <rFont val="Calibri"/>
        <family val="2"/>
        <charset val="1"/>
      </rPr>
      <t>3.3V LDO</t>
    </r>
    <r>
      <rPr>
        <sz val="11"/>
        <color theme="1"/>
        <rFont val="Noto Sans CJK SC"/>
        <family val="2"/>
      </rPr>
      <t>，</t>
    </r>
    <r>
      <rPr>
        <sz val="11"/>
        <color theme="1"/>
        <rFont val="Calibri"/>
        <family val="2"/>
        <charset val="1"/>
      </rPr>
      <t>CRC</t>
    </r>
    <r>
      <rPr>
        <sz val="11"/>
        <color theme="1"/>
        <rFont val="Noto Sans CJK SC"/>
        <family val="2"/>
      </rPr>
      <t>版本</t>
    </r>
  </si>
  <si>
    <t>AMS1117-3.3V</t>
  </si>
  <si>
    <t>U8 - LDO 5V→3.3V</t>
  </si>
  <si>
    <t>充足</t>
  </si>
  <si>
    <t>U7 - 5V DC-DC</t>
  </si>
  <si>
    <r>
      <rPr>
        <sz val="11"/>
        <color theme="1"/>
        <rFont val="Noto Sans CJK SC"/>
        <family val="2"/>
      </rPr>
      <t>缺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颗，需补购</t>
    </r>
  </si>
  <si>
    <r>
      <rPr>
        <sz val="11"/>
        <color theme="1"/>
        <rFont val="Calibri"/>
        <family val="2"/>
        <charset val="1"/>
      </rPr>
      <t>U4 - CAN</t>
    </r>
    <r>
      <rPr>
        <sz val="11"/>
        <color theme="1"/>
        <rFont val="Noto Sans CJK SC"/>
        <family val="2"/>
      </rPr>
      <t>收发器</t>
    </r>
  </si>
  <si>
    <t>已购✓</t>
  </si>
  <si>
    <t>MCP2562-E/P</t>
  </si>
  <si>
    <t>DIP-8</t>
  </si>
  <si>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弃用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</si>
  <si>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>DIP</t>
    </r>
    <r>
      <rPr>
        <sz val="11"/>
        <color theme="1"/>
        <rFont val="Noto Sans CJK SC"/>
        <family val="2"/>
      </rPr>
      <t>直插不便贴片，备用或弃</t>
    </r>
  </si>
  <si>
    <t>U11 - USB-TTL</t>
  </si>
  <si>
    <t>调试用</t>
  </si>
  <si>
    <t>HS180S10B</t>
  </si>
  <si>
    <r>
      <rPr>
        <sz val="11"/>
        <color theme="1"/>
        <rFont val="Calibri"/>
        <family val="2"/>
        <charset val="1"/>
      </rPr>
      <t>1.8</t>
    </r>
    <r>
      <rPr>
        <sz val="11"/>
        <color theme="1"/>
        <rFont val="Noto Sans CJK SC"/>
        <family val="2"/>
      </rPr>
      <t>寸</t>
    </r>
    <r>
      <rPr>
        <sz val="11"/>
        <color theme="1"/>
        <rFont val="Calibri"/>
        <family val="2"/>
        <charset val="1"/>
      </rPr>
      <t>LCD</t>
    </r>
  </si>
  <si>
    <r>
      <rPr>
        <sz val="11"/>
        <color theme="1"/>
        <rFont val="Calibri"/>
        <family val="2"/>
        <charset val="1"/>
      </rPr>
      <t>U10 - LCD</t>
    </r>
    <r>
      <rPr>
        <sz val="11"/>
        <color theme="1"/>
        <rFont val="Noto Sans CJK SC"/>
        <family val="2"/>
      </rPr>
      <t>屏</t>
    </r>
  </si>
  <si>
    <r>
      <rPr>
        <sz val="11"/>
        <color theme="1"/>
        <rFont val="Calibri"/>
        <family val="2"/>
        <charset val="1"/>
      </rPr>
      <t>ST7735</t>
    </r>
    <r>
      <rPr>
        <sz val="11"/>
        <color theme="1"/>
        <rFont val="Noto Sans CJK SC"/>
        <family val="2"/>
      </rPr>
      <t xml:space="preserve">驱动 </t>
    </r>
    <r>
      <rPr>
        <sz val="11"/>
        <color theme="1"/>
        <rFont val="Calibri"/>
        <family val="2"/>
        <charset val="1"/>
      </rPr>
      <t>SPI</t>
    </r>
    <r>
      <rPr>
        <sz val="11"/>
        <color theme="1"/>
        <rFont val="Noto Sans CJK SC"/>
        <family val="2"/>
      </rPr>
      <t>接口</t>
    </r>
  </si>
  <si>
    <t>ACS712ELCTR-20A-T-JSM</t>
  </si>
  <si>
    <r>
      <rPr>
        <sz val="11"/>
        <color theme="1"/>
        <rFont val="Noto Sans CJK SC"/>
        <family val="2"/>
      </rPr>
      <t xml:space="preserve">可选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>外置电流参考</t>
    </r>
  </si>
  <si>
    <r>
      <rPr>
        <sz val="11"/>
        <color theme="1"/>
        <rFont val="Noto Sans CJK SC"/>
        <family val="2"/>
      </rPr>
      <t>本设计用</t>
    </r>
    <r>
      <rPr>
        <sz val="11"/>
        <color theme="1"/>
        <rFont val="Calibri"/>
        <family val="2"/>
        <charset val="1"/>
      </rPr>
      <t>Rsns</t>
    </r>
    <r>
      <rPr>
        <sz val="11"/>
        <color theme="1"/>
        <rFont val="Noto Sans CJK SC"/>
        <family val="2"/>
      </rPr>
      <t>，此芯片可不用</t>
    </r>
  </si>
  <si>
    <t>AO3400 + AO3400A</t>
  </si>
  <si>
    <r>
      <rPr>
        <sz val="11"/>
        <color theme="1"/>
        <rFont val="Noto Sans CJK SC"/>
        <family val="2"/>
      </rPr>
      <t>小信号</t>
    </r>
    <r>
      <rPr>
        <sz val="11"/>
        <color theme="1"/>
        <rFont val="Calibri"/>
        <family val="2"/>
        <charset val="1"/>
      </rPr>
      <t>MOS</t>
    </r>
  </si>
  <si>
    <r>
      <rPr>
        <sz val="11"/>
        <color theme="1"/>
        <rFont val="Noto Sans CJK SC"/>
        <family val="2"/>
      </rPr>
      <t>做主</t>
    </r>
    <r>
      <rPr>
        <sz val="11"/>
        <color theme="1"/>
        <rFont val="Calibri"/>
        <family val="2"/>
        <charset val="1"/>
      </rPr>
      <t>MOS</t>
    </r>
    <r>
      <rPr>
        <sz val="11"/>
        <color theme="1"/>
        <rFont val="Noto Sans CJK SC"/>
        <family val="2"/>
      </rPr>
      <t>余量小，备用</t>
    </r>
  </si>
  <si>
    <t>2N7002</t>
  </si>
  <si>
    <r>
      <rPr>
        <sz val="11"/>
        <color theme="1"/>
        <rFont val="Calibri"/>
        <family val="2"/>
        <charset val="1"/>
      </rPr>
      <t>L610</t>
    </r>
    <r>
      <rPr>
        <sz val="11"/>
        <color theme="1"/>
        <rFont val="Noto Sans CJK SC"/>
        <family val="2"/>
      </rPr>
      <t>电平转换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小开关用</t>
    </r>
  </si>
  <si>
    <t>MMSZ5232B</t>
  </si>
  <si>
    <t>SOD-123</t>
  </si>
  <si>
    <r>
      <rPr>
        <sz val="11"/>
        <color theme="1"/>
        <rFont val="Calibri"/>
        <family val="2"/>
        <charset val="1"/>
      </rPr>
      <t>5.6V</t>
    </r>
    <r>
      <rPr>
        <sz val="11"/>
        <color theme="1"/>
        <rFont val="Noto Sans CJK SC"/>
        <family val="2"/>
      </rPr>
      <t>稳压管</t>
    </r>
  </si>
  <si>
    <t>保护备用</t>
  </si>
  <si>
    <t>HoJLR2512-3W-10mR-1%</t>
  </si>
  <si>
    <r>
      <rPr>
        <sz val="11"/>
        <color theme="1"/>
        <rFont val="Calibri"/>
        <family val="2"/>
        <charset val="1"/>
      </rPr>
      <t>Rsns</t>
    </r>
    <r>
      <rPr>
        <sz val="11"/>
        <color theme="1"/>
        <rFont val="Noto Sans CJK SC"/>
        <family val="2"/>
      </rPr>
      <t>采样电阻⭐</t>
    </r>
  </si>
  <si>
    <t>项目核心元件</t>
  </si>
  <si>
    <r>
      <rPr>
        <sz val="11"/>
        <color theme="1"/>
        <rFont val="Calibri"/>
        <family val="2"/>
        <charset val="1"/>
      </rPr>
      <t xml:space="preserve">F1 </t>
    </r>
    <r>
      <rPr>
        <sz val="11"/>
        <color theme="1"/>
        <rFont val="Noto Sans CJK SC"/>
        <family val="2"/>
      </rPr>
      <t>自恢复保险丝</t>
    </r>
  </si>
  <si>
    <t>3A 33V</t>
  </si>
  <si>
    <r>
      <rPr>
        <sz val="11"/>
        <color theme="1"/>
        <rFont val="Calibri"/>
        <family val="2"/>
        <charset val="1"/>
      </rPr>
      <t>TVS</t>
    </r>
    <r>
      <rPr>
        <sz val="11"/>
        <color theme="1"/>
        <rFont val="Noto Sans CJK SC"/>
        <family val="2"/>
      </rPr>
      <t>二极管</t>
    </r>
  </si>
  <si>
    <r>
      <rPr>
        <sz val="11"/>
        <color theme="1"/>
        <rFont val="Noto Sans CJK SC"/>
        <family val="2"/>
      </rPr>
      <t>电池</t>
    </r>
    <r>
      <rPr>
        <sz val="11"/>
        <color theme="1"/>
        <rFont val="Calibri"/>
        <family val="2"/>
        <charset val="1"/>
      </rPr>
      <t>+CAN</t>
    </r>
    <r>
      <rPr>
        <sz val="11"/>
        <color theme="1"/>
        <rFont val="Noto Sans CJK SC"/>
        <family val="2"/>
      </rPr>
      <t>保护</t>
    </r>
  </si>
  <si>
    <t>TS665CJ</t>
  </si>
  <si>
    <r>
      <rPr>
        <sz val="11"/>
        <color theme="1"/>
        <rFont val="Calibri"/>
        <family val="2"/>
        <charset val="1"/>
      </rPr>
      <t>6×3.5mm</t>
    </r>
    <r>
      <rPr>
        <sz val="11"/>
        <color theme="1"/>
        <rFont val="Noto Sans CJK SC"/>
        <family val="2"/>
      </rPr>
      <t>贴片按键</t>
    </r>
  </si>
  <si>
    <r>
      <rPr>
        <sz val="11"/>
        <color theme="1"/>
        <rFont val="Calibri"/>
        <family val="2"/>
        <charset val="1"/>
      </rPr>
      <t xml:space="preserve">SW1-4 </t>
    </r>
    <r>
      <rPr>
        <sz val="11"/>
        <color theme="1"/>
        <rFont val="Noto Sans CJK SC"/>
        <family val="2"/>
      </rPr>
      <t>按键</t>
    </r>
  </si>
  <si>
    <r>
      <rPr>
        <sz val="11"/>
        <color theme="1"/>
        <rFont val="Noto Sans CJK SC"/>
        <family val="2"/>
      </rPr>
      <t>可用，比</t>
    </r>
    <r>
      <rPr>
        <sz val="11"/>
        <color theme="1"/>
        <rFont val="Calibri"/>
        <family val="2"/>
        <charset val="1"/>
      </rPr>
      <t>6×6mm</t>
    </r>
    <r>
      <rPr>
        <sz val="11"/>
        <color theme="1"/>
        <rFont val="Noto Sans CJK SC"/>
        <family val="2"/>
      </rPr>
      <t>小</t>
    </r>
  </si>
  <si>
    <t>NCP15XH103F03RC</t>
  </si>
  <si>
    <t>NTC 10kΩ B=3380</t>
  </si>
  <si>
    <r>
      <rPr>
        <sz val="11"/>
        <color theme="1"/>
        <rFont val="Noto Sans CJK SC"/>
        <family val="2"/>
      </rPr>
      <t>首选</t>
    </r>
    <r>
      <rPr>
        <sz val="11"/>
        <color theme="1"/>
        <rFont val="Calibri"/>
        <family val="2"/>
        <charset val="1"/>
      </rPr>
      <t>NTC</t>
    </r>
  </si>
  <si>
    <t>WH103AT3950F-2</t>
  </si>
  <si>
    <t>直插</t>
  </si>
  <si>
    <r>
      <rPr>
        <sz val="11"/>
        <color theme="1"/>
        <rFont val="Calibri"/>
        <family val="2"/>
        <charset val="1"/>
      </rPr>
      <t>NTC</t>
    </r>
    <r>
      <rPr>
        <sz val="11"/>
        <color theme="1"/>
        <rFont val="Noto Sans CJK SC"/>
        <family val="2"/>
      </rPr>
      <t>备用</t>
    </r>
  </si>
  <si>
    <r>
      <rPr>
        <sz val="11"/>
        <color theme="1"/>
        <rFont val="Calibri"/>
        <family val="2"/>
        <charset val="1"/>
      </rPr>
      <t>B=3950</t>
    </r>
    <r>
      <rPr>
        <sz val="11"/>
        <color theme="1"/>
        <rFont val="Noto Sans CJK SC"/>
        <family val="2"/>
      </rPr>
      <t>，与上不同，建议只用上款</t>
    </r>
  </si>
  <si>
    <t>KF128-5.0S-3P-AA</t>
  </si>
  <si>
    <r>
      <rPr>
        <sz val="11"/>
        <color theme="1"/>
        <rFont val="Calibri"/>
        <family val="2"/>
        <charset val="1"/>
      </rPr>
      <t>3P</t>
    </r>
    <r>
      <rPr>
        <sz val="11"/>
        <color theme="1"/>
        <rFont val="Noto Sans CJK SC"/>
        <family val="2"/>
      </rPr>
      <t>接线端子</t>
    </r>
  </si>
  <si>
    <t>KF128-5.0S-2P-AA</t>
  </si>
  <si>
    <r>
      <rPr>
        <sz val="11"/>
        <color theme="1"/>
        <rFont val="Calibri"/>
        <family val="2"/>
        <charset val="1"/>
      </rPr>
      <t>2P</t>
    </r>
    <r>
      <rPr>
        <sz val="11"/>
        <color theme="1"/>
        <rFont val="Noto Sans CJK SC"/>
        <family val="2"/>
      </rPr>
      <t>接线端子</t>
    </r>
  </si>
  <si>
    <r>
      <rPr>
        <sz val="11"/>
        <color theme="1"/>
        <rFont val="Calibri"/>
        <family val="2"/>
        <charset val="1"/>
      </rPr>
      <t>PACK+/-</t>
    </r>
    <r>
      <rPr>
        <sz val="11"/>
        <color theme="1"/>
        <rFont val="Noto Sans CJK SC"/>
        <family val="2"/>
      </rPr>
      <t>接口</t>
    </r>
  </si>
  <si>
    <t>0805W8F1000T5E (100Ω)</t>
  </si>
  <si>
    <r>
      <rPr>
        <sz val="11"/>
        <color theme="1"/>
        <rFont val="Calibri"/>
        <family val="2"/>
        <charset val="1"/>
      </rPr>
      <t>VC/SR</t>
    </r>
    <r>
      <rPr>
        <sz val="11"/>
        <color theme="1"/>
        <rFont val="Noto Sans CJK SC"/>
        <family val="2"/>
      </rPr>
      <t>滤波电阻</t>
    </r>
  </si>
  <si>
    <t>项目大量使用</t>
  </si>
  <si>
    <t>0805W8F1001T5E (1kΩ)</t>
  </si>
  <si>
    <t>杂用</t>
  </si>
  <si>
    <t>三极管基极等</t>
  </si>
  <si>
    <t>0805W8F1002T5E (10kΩ)</t>
  </si>
  <si>
    <r>
      <rPr>
        <sz val="11"/>
        <color theme="1"/>
        <rFont val="Noto Sans CJK SC"/>
        <family val="2"/>
      </rPr>
      <t>上拉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下拉电阻</t>
    </r>
  </si>
  <si>
    <r>
      <rPr>
        <sz val="11"/>
        <color theme="1"/>
        <rFont val="Calibri"/>
        <family val="2"/>
        <charset val="1"/>
      </rPr>
      <t>MOS</t>
    </r>
    <r>
      <rPr>
        <sz val="11"/>
        <color theme="1"/>
        <rFont val="Noto Sans CJK SC"/>
        <family val="2"/>
      </rPr>
      <t>下拉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按键上拉</t>
    </r>
  </si>
  <si>
    <t>0805W8F1003T5E (100kΩ)</t>
  </si>
  <si>
    <t>备用</t>
  </si>
  <si>
    <t>0805W8F4702T5E (47kΩ)</t>
  </si>
  <si>
    <t>0805W8F1200T5E (120Ω)</t>
  </si>
  <si>
    <r>
      <rPr>
        <sz val="11"/>
        <color theme="1"/>
        <rFont val="Calibri"/>
        <family val="2"/>
        <charset val="1"/>
      </rPr>
      <t>CAN</t>
    </r>
    <r>
      <rPr>
        <sz val="11"/>
        <color theme="1"/>
        <rFont val="Noto Sans CJK SC"/>
        <family val="2"/>
      </rPr>
      <t>终端电阻</t>
    </r>
  </si>
  <si>
    <t>1206W4F330JT5E (33Ω)</t>
  </si>
  <si>
    <t>1206</t>
  </si>
  <si>
    <r>
      <rPr>
        <sz val="11"/>
        <color theme="1"/>
        <rFont val="Noto Sans CJK SC"/>
        <family val="2"/>
      </rPr>
      <t>可选</t>
    </r>
    <r>
      <rPr>
        <sz val="11"/>
        <color theme="1"/>
        <rFont val="Calibri"/>
        <family val="2"/>
        <charset val="1"/>
      </rPr>
      <t>MOS</t>
    </r>
    <r>
      <rPr>
        <sz val="11"/>
        <color theme="1"/>
        <rFont val="Noto Sans CJK SC"/>
        <family val="2"/>
      </rPr>
      <t>栅极限流</t>
    </r>
  </si>
  <si>
    <r>
      <rPr>
        <sz val="11"/>
        <color theme="1"/>
        <rFont val="Noto Sans CJK SC"/>
        <family val="2"/>
      </rPr>
      <t>防</t>
    </r>
    <r>
      <rPr>
        <sz val="11"/>
        <color theme="1"/>
        <rFont val="Calibri"/>
        <family val="2"/>
        <charset val="1"/>
      </rPr>
      <t>EMI</t>
    </r>
    <r>
      <rPr>
        <sz val="11"/>
        <color theme="1"/>
        <rFont val="Noto Sans CJK SC"/>
        <family val="2"/>
      </rPr>
      <t>振铃</t>
    </r>
  </si>
  <si>
    <t>CL21B104KBCNNNC (100nF)</t>
  </si>
  <si>
    <t>通用退耦</t>
  </si>
  <si>
    <t>CL21B105KAFNNNE (1µF)</t>
  </si>
  <si>
    <r>
      <rPr>
        <sz val="11"/>
        <color theme="1"/>
        <rFont val="Calibri"/>
        <family val="2"/>
        <charset val="1"/>
      </rPr>
      <t>VC</t>
    </r>
    <r>
      <rPr>
        <sz val="11"/>
        <color theme="1"/>
        <rFont val="Noto Sans CJK SC"/>
        <family val="2"/>
      </rPr>
      <t>旁路</t>
    </r>
    <r>
      <rPr>
        <sz val="11"/>
        <color theme="1"/>
        <rFont val="Calibri"/>
        <family val="2"/>
        <charset val="1"/>
      </rPr>
      <t>+</t>
    </r>
    <r>
      <rPr>
        <sz val="11"/>
        <color theme="1"/>
        <rFont val="Noto Sans CJK SC"/>
        <family val="2"/>
      </rPr>
      <t>退耦</t>
    </r>
  </si>
  <si>
    <r>
      <rPr>
        <sz val="11"/>
        <color theme="1"/>
        <rFont val="Calibri"/>
        <family val="2"/>
        <charset val="1"/>
      </rPr>
      <t>C1-C6 VC</t>
    </r>
    <r>
      <rPr>
        <sz val="11"/>
        <color theme="1"/>
        <rFont val="Noto Sans CJK SC"/>
        <family val="2"/>
      </rPr>
      <t>旁路必需</t>
    </r>
  </si>
  <si>
    <t>CL21A106KAYNNNE (10µF)</t>
  </si>
  <si>
    <t>电源滤波</t>
  </si>
  <si>
    <r>
      <rPr>
        <sz val="11"/>
        <color theme="1"/>
        <rFont val="Calibri"/>
        <family val="2"/>
        <charset val="1"/>
      </rPr>
      <t>C7 REGSRC</t>
    </r>
    <r>
      <rPr>
        <sz val="11"/>
        <color theme="1"/>
        <rFont val="Noto Sans CJK SC"/>
        <family val="2"/>
      </rPr>
      <t>等</t>
    </r>
  </si>
  <si>
    <t>0805CG101J500NT (100pF)</t>
  </si>
  <si>
    <t>高频滤波</t>
  </si>
  <si>
    <t>晶振用</t>
  </si>
  <si>
    <r>
      <rPr>
        <sz val="11"/>
        <color theme="1"/>
        <rFont val="Calibri"/>
        <family val="2"/>
        <charset val="1"/>
      </rPr>
      <t>593D106X9035D2TE3 (10µF/35V</t>
    </r>
    <r>
      <rPr>
        <sz val="11"/>
        <color theme="1"/>
        <rFont val="Noto Sans CJK SC"/>
        <family val="2"/>
      </rPr>
      <t>钽</t>
    </r>
    <r>
      <rPr>
        <sz val="11"/>
        <color theme="1"/>
        <rFont val="Calibri"/>
        <family val="2"/>
        <charset val="1"/>
      </rPr>
      <t>)</t>
    </r>
  </si>
  <si>
    <t>高耐压电源滤波</t>
  </si>
  <si>
    <t>可用于电池侧滤波</t>
  </si>
  <si>
    <t>rmcp2010 100Ω 5% 1W</t>
    <phoneticPr fontId="6" type="noConversion"/>
  </si>
  <si>
    <r>
      <t xml:space="preserve">RB7Z1A101MDNT (100µF/25V </t>
    </r>
    <r>
      <rPr>
        <sz val="11"/>
        <color theme="1"/>
        <rFont val="微软雅黑"/>
        <family val="2"/>
        <charset val="134"/>
      </rPr>
      <t>直插电解</t>
    </r>
    <r>
      <rPr>
        <sz val="11"/>
        <color theme="1"/>
        <rFont val="Calibri"/>
        <family val="2"/>
        <charset val="1"/>
      </rPr>
      <t>)</t>
    </r>
    <phoneticPr fontId="6" type="noConversion"/>
  </si>
  <si>
    <t>CL21A475KOQNNNE (4.7µF/16V)</t>
    <phoneticPr fontId="6" type="noConversion"/>
  </si>
  <si>
    <t>1N4148WS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</si>
</sst>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¥#,##0.00"/>
  </numFmts>
  <fonts count="8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color rgb="FFFFFFFF"/>
      <name val="Noto Sans CJK SC"/>
      <family val="2"/>
    </font>
    <font>
      <sz val="11"/>
      <color theme="1"/>
      <name val="Noto Sans CJK SC"/>
      <family val="2"/>
    </font>
    <font>
      <b/>
      <sz val="11"/>
      <name val="Noto Sans CJK SC"/>
      <family val="2"/>
    </font>
    <font>
      <b/>
      <sz val="11"/>
      <color rgb="FFFFFFFF"/>
      <name val="Arial"/>
      <family val="2"/>
    </font>
    <font>
      <sz val="9"/>
      <name val="宋体"/>
      <family val="3"/>
      <charset val="134"/>
    </font>
    <font>
      <sz val="11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FF2CC"/>
        <bgColor rgb="FFFFE4E1"/>
      </patternFill>
    </fill>
    <fill>
      <patternFill patternType="solid">
        <fgColor rgb="FFE8F5E9"/>
        <bgColor rgb="FFFFF2CC"/>
      </patternFill>
    </fill>
    <fill>
      <patternFill patternType="solid">
        <fgColor rgb="FFFFE4E1"/>
        <bgColor rgb="FFFFF2C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4" fillId="0" borderId="0" xfId="0" applyFont="1"/>
    <xf numFmtId="176" fontId="0" fillId="0" borderId="0" xfId="0" applyNumberFormat="1"/>
    <xf numFmtId="0" fontId="0" fillId="4" borderId="1" xfId="0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4E1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zoomScaleNormal="100" workbookViewId="0">
      <selection activeCell="B6" sqref="B6"/>
    </sheetView>
  </sheetViews>
  <sheetFormatPr defaultColWidth="8.6328125" defaultRowHeight="14.5"/>
  <cols>
    <col min="1" max="1" width="12" customWidth="1"/>
    <col min="2" max="2" width="36" customWidth="1"/>
    <col min="3" max="3" width="14" customWidth="1"/>
    <col min="4" max="4" width="8" customWidth="1"/>
    <col min="5" max="5" width="38" customWidth="1"/>
    <col min="6" max="7" width="12" customWidth="1"/>
  </cols>
  <sheetData>
    <row r="1" spans="1:7" ht="27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>
        <v>2</v>
      </c>
      <c r="E2" s="3" t="s">
        <v>10</v>
      </c>
      <c r="F2" s="3">
        <v>25</v>
      </c>
      <c r="G2" s="3">
        <v>50</v>
      </c>
    </row>
    <row r="3" spans="1:7">
      <c r="A3" s="3" t="s">
        <v>11</v>
      </c>
      <c r="B3" s="3" t="s">
        <v>12</v>
      </c>
      <c r="C3" s="3" t="s">
        <v>13</v>
      </c>
      <c r="D3" s="3">
        <v>4</v>
      </c>
      <c r="E3" s="3" t="s">
        <v>14</v>
      </c>
      <c r="F3" s="3">
        <v>1.8</v>
      </c>
      <c r="G3" s="3">
        <v>7.2</v>
      </c>
    </row>
    <row r="4" spans="1:7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F4" s="3">
        <v>7.2</v>
      </c>
      <c r="G4" s="3">
        <v>7.2</v>
      </c>
    </row>
    <row r="5" spans="1:7">
      <c r="A5" s="3" t="s">
        <v>19</v>
      </c>
      <c r="B5" s="3" t="s">
        <v>20</v>
      </c>
      <c r="C5" s="3" t="s">
        <v>21</v>
      </c>
      <c r="D5" s="3">
        <v>5</v>
      </c>
      <c r="E5" s="3" t="s">
        <v>22</v>
      </c>
      <c r="F5" s="3">
        <v>0.1</v>
      </c>
      <c r="G5" s="3">
        <v>0.5</v>
      </c>
    </row>
    <row r="6" spans="1:7">
      <c r="A6" s="3" t="s">
        <v>23</v>
      </c>
      <c r="B6" s="4" t="s">
        <v>24</v>
      </c>
      <c r="C6" s="3" t="s">
        <v>25</v>
      </c>
      <c r="D6" s="3">
        <v>2</v>
      </c>
      <c r="E6" s="3" t="s">
        <v>26</v>
      </c>
      <c r="F6" s="3">
        <v>1.5</v>
      </c>
      <c r="G6" s="3">
        <v>3</v>
      </c>
    </row>
    <row r="7" spans="1:7">
      <c r="A7" s="5" t="s">
        <v>27</v>
      </c>
      <c r="B7" s="5" t="s">
        <v>28</v>
      </c>
      <c r="C7" s="5" t="s">
        <v>29</v>
      </c>
      <c r="D7" s="5">
        <v>50</v>
      </c>
      <c r="E7" s="5" t="s">
        <v>30</v>
      </c>
      <c r="F7" s="5">
        <v>0.01</v>
      </c>
      <c r="G7" s="5">
        <v>0.5</v>
      </c>
    </row>
    <row r="8" spans="1:7">
      <c r="A8" s="5" t="s">
        <v>31</v>
      </c>
      <c r="B8" s="5" t="s">
        <v>32</v>
      </c>
      <c r="C8" s="5" t="s">
        <v>29</v>
      </c>
      <c r="D8" s="5">
        <v>20</v>
      </c>
      <c r="E8" s="5" t="s">
        <v>33</v>
      </c>
      <c r="F8" s="5">
        <v>0.01</v>
      </c>
      <c r="G8" s="5">
        <v>0.2</v>
      </c>
    </row>
    <row r="9" spans="1:7">
      <c r="A9" s="5" t="s">
        <v>34</v>
      </c>
      <c r="B9" s="5" t="s">
        <v>35</v>
      </c>
      <c r="C9" s="5" t="s">
        <v>29</v>
      </c>
      <c r="D9" s="5">
        <v>20</v>
      </c>
      <c r="E9" s="5" t="s">
        <v>36</v>
      </c>
      <c r="F9" s="5">
        <v>0.02</v>
      </c>
      <c r="G9" s="5">
        <v>0.4</v>
      </c>
    </row>
    <row r="10" spans="1:7">
      <c r="A10" s="5" t="s">
        <v>37</v>
      </c>
      <c r="B10" s="5" t="s">
        <v>38</v>
      </c>
      <c r="C10" s="5" t="s">
        <v>29</v>
      </c>
      <c r="D10" s="5">
        <v>20</v>
      </c>
      <c r="E10" s="5" t="s">
        <v>39</v>
      </c>
      <c r="F10" s="5">
        <v>0.01</v>
      </c>
      <c r="G10" s="5">
        <v>0.2</v>
      </c>
    </row>
    <row r="11" spans="1:7">
      <c r="A11" s="3" t="s">
        <v>40</v>
      </c>
      <c r="B11" s="3" t="s">
        <v>41</v>
      </c>
      <c r="C11" s="3" t="s">
        <v>29</v>
      </c>
      <c r="D11" s="3">
        <v>20</v>
      </c>
      <c r="E11" s="3" t="s">
        <v>42</v>
      </c>
      <c r="F11" s="3">
        <v>0.01</v>
      </c>
      <c r="G11" s="3">
        <v>0.2</v>
      </c>
    </row>
    <row r="12" spans="1:7">
      <c r="A12" s="5" t="s">
        <v>43</v>
      </c>
      <c r="B12" s="5" t="s">
        <v>425</v>
      </c>
      <c r="C12" s="5" t="s">
        <v>44</v>
      </c>
      <c r="D12" s="5">
        <v>10</v>
      </c>
      <c r="E12" s="5" t="s">
        <v>45</v>
      </c>
      <c r="F12" s="5">
        <v>0.1</v>
      </c>
      <c r="G12" s="5">
        <v>1</v>
      </c>
    </row>
    <row r="13" spans="1:7">
      <c r="A13" s="3" t="s">
        <v>46</v>
      </c>
      <c r="B13" s="3" t="s">
        <v>47</v>
      </c>
      <c r="C13" s="3" t="s">
        <v>29</v>
      </c>
      <c r="D13" s="3">
        <v>10</v>
      </c>
      <c r="E13" s="3" t="s">
        <v>48</v>
      </c>
      <c r="F13" s="3">
        <v>0.02</v>
      </c>
      <c r="G13" s="3">
        <v>0.2</v>
      </c>
    </row>
    <row r="14" spans="1:7">
      <c r="A14" s="3" t="s">
        <v>49</v>
      </c>
      <c r="B14" s="3" t="s">
        <v>50</v>
      </c>
      <c r="C14" s="3" t="s">
        <v>29</v>
      </c>
      <c r="D14" s="3">
        <v>10</v>
      </c>
      <c r="E14" s="3" t="s">
        <v>51</v>
      </c>
      <c r="F14" s="3">
        <v>0.02</v>
      </c>
      <c r="G14" s="3">
        <v>0.2</v>
      </c>
    </row>
    <row r="15" spans="1:7">
      <c r="A15" s="3" t="s">
        <v>52</v>
      </c>
      <c r="B15" s="3" t="s">
        <v>53</v>
      </c>
      <c r="C15" s="3" t="s">
        <v>29</v>
      </c>
      <c r="D15" s="3">
        <v>50</v>
      </c>
      <c r="E15" s="3" t="s">
        <v>54</v>
      </c>
      <c r="F15" s="3">
        <v>0.01</v>
      </c>
      <c r="G15" s="3">
        <v>0.5</v>
      </c>
    </row>
    <row r="16" spans="1:7">
      <c r="A16" s="3" t="s">
        <v>55</v>
      </c>
      <c r="B16" s="3" t="s">
        <v>56</v>
      </c>
      <c r="C16" s="3" t="s">
        <v>29</v>
      </c>
      <c r="D16" s="3">
        <v>20</v>
      </c>
      <c r="E16" s="3" t="s">
        <v>57</v>
      </c>
      <c r="F16" s="3">
        <v>0.2</v>
      </c>
      <c r="G16" s="3">
        <v>4</v>
      </c>
    </row>
    <row r="17" spans="1:7" ht="16.5">
      <c r="A17" s="5" t="s">
        <v>58</v>
      </c>
      <c r="B17" s="5" t="s">
        <v>426</v>
      </c>
      <c r="C17" s="5" t="s">
        <v>59</v>
      </c>
      <c r="D17" s="5">
        <v>5</v>
      </c>
      <c r="E17" s="5" t="s">
        <v>60</v>
      </c>
      <c r="F17" s="5">
        <v>0.3</v>
      </c>
      <c r="G17" s="5">
        <v>1.5</v>
      </c>
    </row>
    <row r="18" spans="1:7">
      <c r="A18" s="3" t="s">
        <v>61</v>
      </c>
      <c r="B18" s="3" t="s">
        <v>427</v>
      </c>
      <c r="C18" s="3" t="s">
        <v>29</v>
      </c>
      <c r="D18" s="3">
        <v>20</v>
      </c>
      <c r="E18" s="3" t="s">
        <v>62</v>
      </c>
      <c r="F18" s="3">
        <v>0.03</v>
      </c>
      <c r="G18" s="3">
        <v>0.6</v>
      </c>
    </row>
    <row r="19" spans="1:7">
      <c r="A19" s="5" t="s">
        <v>63</v>
      </c>
      <c r="B19" s="5" t="s">
        <v>64</v>
      </c>
      <c r="C19" s="5" t="s">
        <v>65</v>
      </c>
      <c r="D19" s="5">
        <v>4</v>
      </c>
      <c r="E19" s="5" t="s">
        <v>66</v>
      </c>
      <c r="F19" s="5">
        <v>1.5</v>
      </c>
      <c r="G19" s="5">
        <v>6</v>
      </c>
    </row>
    <row r="20" spans="1:7">
      <c r="A20" s="3" t="s">
        <v>67</v>
      </c>
      <c r="B20" s="3" t="s">
        <v>428</v>
      </c>
      <c r="C20" s="3" t="s">
        <v>69</v>
      </c>
      <c r="D20" s="3">
        <v>5</v>
      </c>
      <c r="E20" s="4" t="s">
        <v>70</v>
      </c>
      <c r="F20" s="3">
        <v>0.05</v>
      </c>
      <c r="G20" s="3">
        <v>0.25</v>
      </c>
    </row>
    <row r="21" spans="1:7">
      <c r="A21" s="5" t="s">
        <v>71</v>
      </c>
      <c r="B21" s="5" t="s">
        <v>72</v>
      </c>
      <c r="C21" s="5" t="s">
        <v>73</v>
      </c>
      <c r="D21" s="5">
        <v>2</v>
      </c>
      <c r="E21" s="5" t="s">
        <v>74</v>
      </c>
      <c r="F21" s="5">
        <v>1.5</v>
      </c>
      <c r="G21" s="5">
        <v>3</v>
      </c>
    </row>
    <row r="22" spans="1:7">
      <c r="A22" s="3" t="s">
        <v>75</v>
      </c>
      <c r="B22" s="4" t="s">
        <v>76</v>
      </c>
      <c r="C22" s="3" t="s">
        <v>25</v>
      </c>
      <c r="D22" s="3">
        <v>5</v>
      </c>
      <c r="E22" s="3" t="s">
        <v>77</v>
      </c>
      <c r="F22" s="3">
        <v>0.3</v>
      </c>
      <c r="G22" s="3">
        <v>1.5</v>
      </c>
    </row>
    <row r="23" spans="1:7">
      <c r="A23" s="3" t="s">
        <v>78</v>
      </c>
      <c r="B23" s="4" t="s">
        <v>79</v>
      </c>
      <c r="C23" s="3" t="s">
        <v>25</v>
      </c>
      <c r="D23" s="3">
        <v>5</v>
      </c>
      <c r="E23" s="3" t="s">
        <v>80</v>
      </c>
      <c r="F23" s="3">
        <v>0.2</v>
      </c>
      <c r="G23" s="3">
        <v>1</v>
      </c>
    </row>
    <row r="24" spans="1:7">
      <c r="A24" s="3" t="s">
        <v>81</v>
      </c>
      <c r="B24" s="3" t="s">
        <v>82</v>
      </c>
      <c r="C24" s="3" t="s">
        <v>29</v>
      </c>
      <c r="D24" s="3">
        <v>10</v>
      </c>
      <c r="E24" s="3" t="s">
        <v>83</v>
      </c>
      <c r="F24" s="3">
        <v>0.05</v>
      </c>
      <c r="G24" s="3">
        <v>0.5</v>
      </c>
    </row>
    <row r="25" spans="1:7">
      <c r="A25" s="3" t="s">
        <v>84</v>
      </c>
      <c r="B25" s="3" t="s">
        <v>85</v>
      </c>
      <c r="C25" s="3" t="s">
        <v>29</v>
      </c>
      <c r="D25" s="3">
        <v>10</v>
      </c>
      <c r="E25" s="3" t="s">
        <v>86</v>
      </c>
      <c r="F25" s="3">
        <v>0.05</v>
      </c>
      <c r="G25" s="3">
        <v>0.5</v>
      </c>
    </row>
    <row r="27" spans="1:7">
      <c r="D27" s="6" t="s">
        <v>87</v>
      </c>
      <c r="E27">
        <f>COUNTA(A2:A25)</f>
        <v>24</v>
      </c>
    </row>
    <row r="28" spans="1:7">
      <c r="D28" s="6" t="s">
        <v>88</v>
      </c>
      <c r="E28" s="7">
        <f>SUM(G2:G25)</f>
        <v>90.15000000000002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"/>
  <sheetViews>
    <sheetView tabSelected="1" zoomScaleNormal="100" workbookViewId="0"/>
  </sheetViews>
  <sheetFormatPr defaultColWidth="8.6328125" defaultRowHeight="14.5"/>
  <cols>
    <col min="1" max="1" width="10" customWidth="1"/>
    <col min="2" max="2" width="22" customWidth="1"/>
    <col min="3" max="3" width="30" customWidth="1"/>
    <col min="4" max="4" width="14" customWidth="1"/>
    <col min="5" max="5" width="8" customWidth="1"/>
    <col min="6" max="6" width="30" customWidth="1"/>
    <col min="7" max="7" width="18" customWidth="1"/>
    <col min="8" max="8" width="12" customWidth="1"/>
  </cols>
  <sheetData>
    <row r="1" spans="1:8" ht="27.75" customHeight="1">
      <c r="A1" s="2" t="s">
        <v>89</v>
      </c>
      <c r="B1" s="2" t="s">
        <v>90</v>
      </c>
      <c r="C1" s="2" t="s">
        <v>91</v>
      </c>
      <c r="D1" s="2" t="s">
        <v>2</v>
      </c>
      <c r="E1" s="2" t="s">
        <v>3</v>
      </c>
      <c r="F1" s="2" t="s">
        <v>4</v>
      </c>
      <c r="G1" s="2" t="s">
        <v>92</v>
      </c>
      <c r="H1" s="1" t="s">
        <v>0</v>
      </c>
    </row>
    <row r="2" spans="1:8" ht="28.5">
      <c r="A2" s="3" t="s">
        <v>93</v>
      </c>
      <c r="B2" s="3" t="s">
        <v>94</v>
      </c>
      <c r="C2" s="3" t="s">
        <v>95</v>
      </c>
      <c r="D2" s="4" t="s">
        <v>96</v>
      </c>
      <c r="E2" s="3">
        <v>1</v>
      </c>
      <c r="F2" s="4" t="s">
        <v>97</v>
      </c>
      <c r="G2" s="4" t="s">
        <v>98</v>
      </c>
      <c r="H2" s="3" t="s">
        <v>99</v>
      </c>
    </row>
    <row r="3" spans="1:8">
      <c r="A3" s="8" t="s">
        <v>100</v>
      </c>
      <c r="B3" s="8" t="s">
        <v>101</v>
      </c>
      <c r="C3" s="8" t="s">
        <v>102</v>
      </c>
      <c r="D3" s="8" t="s">
        <v>103</v>
      </c>
      <c r="E3" s="8">
        <v>1</v>
      </c>
      <c r="F3" s="8" t="s">
        <v>104</v>
      </c>
      <c r="G3" s="9" t="s">
        <v>105</v>
      </c>
      <c r="H3" s="8" t="s">
        <v>106</v>
      </c>
    </row>
    <row r="4" spans="1:8">
      <c r="A4" s="10" t="s">
        <v>107</v>
      </c>
      <c r="B4" s="11" t="s">
        <v>108</v>
      </c>
      <c r="C4" s="10" t="s">
        <v>8</v>
      </c>
      <c r="D4" s="10" t="s">
        <v>9</v>
      </c>
      <c r="E4" s="10">
        <v>2</v>
      </c>
      <c r="F4" s="10" t="s">
        <v>109</v>
      </c>
      <c r="G4" s="11" t="s">
        <v>110</v>
      </c>
      <c r="H4" s="10" t="s">
        <v>7</v>
      </c>
    </row>
    <row r="5" spans="1:8">
      <c r="A5" s="8" t="s">
        <v>111</v>
      </c>
      <c r="B5" s="8" t="s">
        <v>112</v>
      </c>
      <c r="C5" s="8" t="s">
        <v>113</v>
      </c>
      <c r="D5" s="8" t="s">
        <v>17</v>
      </c>
      <c r="E5" s="8">
        <v>1</v>
      </c>
      <c r="F5" s="8" t="s">
        <v>114</v>
      </c>
      <c r="G5" s="9" t="s">
        <v>105</v>
      </c>
      <c r="H5" s="8" t="s">
        <v>99</v>
      </c>
    </row>
    <row r="6" spans="1:8">
      <c r="A6" s="3" t="s">
        <v>115</v>
      </c>
      <c r="B6" s="3" t="s">
        <v>116</v>
      </c>
      <c r="C6" s="3" t="s">
        <v>117</v>
      </c>
      <c r="D6" s="4" t="s">
        <v>118</v>
      </c>
      <c r="E6" s="3">
        <v>1</v>
      </c>
      <c r="F6" s="3" t="s">
        <v>119</v>
      </c>
      <c r="G6" s="4" t="s">
        <v>120</v>
      </c>
      <c r="H6" s="3" t="s">
        <v>99</v>
      </c>
    </row>
    <row r="7" spans="1:8">
      <c r="A7" s="10" t="s">
        <v>121</v>
      </c>
      <c r="B7" s="10" t="s">
        <v>122</v>
      </c>
      <c r="C7" s="10" t="s">
        <v>16</v>
      </c>
      <c r="D7" s="10" t="s">
        <v>17</v>
      </c>
      <c r="E7" s="10">
        <v>1</v>
      </c>
      <c r="F7" s="10" t="s">
        <v>123</v>
      </c>
      <c r="G7" s="11" t="s">
        <v>110</v>
      </c>
      <c r="H7" s="10" t="s">
        <v>15</v>
      </c>
    </row>
    <row r="8" spans="1:8">
      <c r="A8" s="8" t="s">
        <v>124</v>
      </c>
      <c r="B8" s="8" t="s">
        <v>125</v>
      </c>
      <c r="C8" s="8" t="s">
        <v>16</v>
      </c>
      <c r="D8" s="8" t="s">
        <v>17</v>
      </c>
      <c r="E8" s="8">
        <v>1</v>
      </c>
      <c r="F8" s="8" t="s">
        <v>126</v>
      </c>
      <c r="G8" s="9" t="s">
        <v>105</v>
      </c>
      <c r="H8" s="8" t="s">
        <v>99</v>
      </c>
    </row>
    <row r="9" spans="1:8">
      <c r="A9" s="8" t="s">
        <v>127</v>
      </c>
      <c r="B9" s="8" t="s">
        <v>128</v>
      </c>
      <c r="C9" s="8" t="s">
        <v>129</v>
      </c>
      <c r="D9" s="8" t="s">
        <v>130</v>
      </c>
      <c r="E9" s="8">
        <v>1</v>
      </c>
      <c r="F9" s="8" t="s">
        <v>131</v>
      </c>
      <c r="G9" s="9" t="s">
        <v>105</v>
      </c>
      <c r="H9" s="8" t="s">
        <v>99</v>
      </c>
    </row>
    <row r="10" spans="1:8">
      <c r="A10" s="8" t="s">
        <v>132</v>
      </c>
      <c r="B10" s="8" t="s">
        <v>133</v>
      </c>
      <c r="C10" s="8" t="s">
        <v>134</v>
      </c>
      <c r="D10" s="8" t="s">
        <v>135</v>
      </c>
      <c r="E10" s="8">
        <v>1</v>
      </c>
      <c r="F10" s="9" t="s">
        <v>136</v>
      </c>
      <c r="G10" s="9" t="s">
        <v>137</v>
      </c>
      <c r="H10" s="8" t="s">
        <v>99</v>
      </c>
    </row>
    <row r="11" spans="1:8">
      <c r="A11" s="8" t="s">
        <v>138</v>
      </c>
      <c r="B11" s="8" t="s">
        <v>139</v>
      </c>
      <c r="C11" s="8" t="s">
        <v>140</v>
      </c>
      <c r="D11" s="8" t="s">
        <v>141</v>
      </c>
      <c r="E11" s="8">
        <v>1</v>
      </c>
      <c r="F11" s="9" t="s">
        <v>142</v>
      </c>
      <c r="G11" s="9" t="s">
        <v>105</v>
      </c>
      <c r="H11" s="8" t="s">
        <v>99</v>
      </c>
    </row>
    <row r="12" spans="1:8">
      <c r="A12" s="10" t="s">
        <v>143</v>
      </c>
      <c r="B12" s="11" t="s">
        <v>144</v>
      </c>
      <c r="C12" s="10" t="s">
        <v>12</v>
      </c>
      <c r="D12" s="10" t="s">
        <v>145</v>
      </c>
      <c r="E12" s="10">
        <v>1</v>
      </c>
      <c r="F12" s="10" t="s">
        <v>146</v>
      </c>
      <c r="G12" s="11" t="s">
        <v>110</v>
      </c>
      <c r="H12" s="10" t="s">
        <v>11</v>
      </c>
    </row>
    <row r="13" spans="1:8">
      <c r="A13" s="10" t="s">
        <v>147</v>
      </c>
      <c r="B13" s="11" t="s">
        <v>148</v>
      </c>
      <c r="C13" s="10" t="s">
        <v>12</v>
      </c>
      <c r="D13" s="10" t="s">
        <v>145</v>
      </c>
      <c r="E13" s="10">
        <v>1</v>
      </c>
      <c r="F13" s="10" t="s">
        <v>149</v>
      </c>
      <c r="G13" s="11" t="s">
        <v>110</v>
      </c>
      <c r="H13" s="10" t="s">
        <v>11</v>
      </c>
    </row>
    <row r="14" spans="1:8">
      <c r="A14" s="10" t="s">
        <v>150</v>
      </c>
      <c r="B14" s="11" t="s">
        <v>151</v>
      </c>
      <c r="C14" s="10" t="s">
        <v>152</v>
      </c>
      <c r="D14" s="10" t="s">
        <v>21</v>
      </c>
      <c r="E14" s="10">
        <v>1</v>
      </c>
      <c r="F14" s="10" t="s">
        <v>153</v>
      </c>
      <c r="G14" s="11" t="s">
        <v>110</v>
      </c>
      <c r="H14" s="10" t="s">
        <v>19</v>
      </c>
    </row>
    <row r="15" spans="1:8">
      <c r="A15" s="10" t="s">
        <v>154</v>
      </c>
      <c r="B15" s="11" t="s">
        <v>155</v>
      </c>
      <c r="C15" s="10" t="s">
        <v>156</v>
      </c>
      <c r="D15" s="10" t="s">
        <v>25</v>
      </c>
      <c r="E15" s="10">
        <v>1</v>
      </c>
      <c r="F15" s="11" t="s">
        <v>157</v>
      </c>
      <c r="G15" s="11" t="s">
        <v>110</v>
      </c>
      <c r="H15" s="10" t="s">
        <v>23</v>
      </c>
    </row>
    <row r="16" spans="1:8">
      <c r="A16" s="8" t="s">
        <v>158</v>
      </c>
      <c r="B16" s="9" t="s">
        <v>159</v>
      </c>
      <c r="C16" s="8" t="s">
        <v>160</v>
      </c>
      <c r="D16" s="8" t="s">
        <v>161</v>
      </c>
      <c r="E16" s="8">
        <v>1</v>
      </c>
      <c r="F16" s="8" t="s">
        <v>162</v>
      </c>
      <c r="G16" s="9" t="s">
        <v>105</v>
      </c>
      <c r="H16" s="8" t="s">
        <v>99</v>
      </c>
    </row>
    <row r="17" spans="1:8">
      <c r="A17" s="8" t="s">
        <v>163</v>
      </c>
      <c r="B17" s="9" t="s">
        <v>164</v>
      </c>
      <c r="C17" s="8" t="s">
        <v>165</v>
      </c>
      <c r="D17" s="8" t="s">
        <v>166</v>
      </c>
      <c r="E17" s="8">
        <v>1</v>
      </c>
      <c r="F17" s="9" t="s">
        <v>167</v>
      </c>
      <c r="G17" s="9" t="s">
        <v>105</v>
      </c>
      <c r="H17" s="8" t="s">
        <v>99</v>
      </c>
    </row>
    <row r="18" spans="1:8">
      <c r="A18" s="8" t="s">
        <v>168</v>
      </c>
      <c r="B18" s="8" t="s">
        <v>169</v>
      </c>
      <c r="C18" s="8" t="s">
        <v>165</v>
      </c>
      <c r="D18" s="8" t="s">
        <v>166</v>
      </c>
      <c r="E18" s="8">
        <v>1</v>
      </c>
      <c r="F18" s="8" t="s">
        <v>170</v>
      </c>
      <c r="G18" s="9" t="s">
        <v>105</v>
      </c>
      <c r="H18" s="8" t="s">
        <v>99</v>
      </c>
    </row>
    <row r="19" spans="1:8">
      <c r="A19" s="10" t="s">
        <v>171</v>
      </c>
      <c r="B19" s="11" t="s">
        <v>70</v>
      </c>
      <c r="C19" s="10" t="s">
        <v>68</v>
      </c>
      <c r="D19" s="10" t="s">
        <v>69</v>
      </c>
      <c r="E19" s="10">
        <v>1</v>
      </c>
      <c r="F19" s="11" t="s">
        <v>172</v>
      </c>
      <c r="G19" s="11" t="s">
        <v>110</v>
      </c>
      <c r="H19" s="10" t="s">
        <v>67</v>
      </c>
    </row>
    <row r="20" spans="1:8">
      <c r="A20" s="8" t="s">
        <v>173</v>
      </c>
      <c r="B20" s="8" t="s">
        <v>174</v>
      </c>
      <c r="C20" s="8" t="s">
        <v>175</v>
      </c>
      <c r="D20" s="8" t="s">
        <v>29</v>
      </c>
      <c r="E20" s="8">
        <v>6</v>
      </c>
      <c r="F20" s="8" t="s">
        <v>176</v>
      </c>
      <c r="G20" s="9" t="s">
        <v>105</v>
      </c>
      <c r="H20" s="8" t="s">
        <v>99</v>
      </c>
    </row>
    <row r="21" spans="1:8">
      <c r="A21" s="8" t="s">
        <v>177</v>
      </c>
      <c r="B21" s="8" t="s">
        <v>178</v>
      </c>
      <c r="C21" s="8" t="s">
        <v>175</v>
      </c>
      <c r="D21" s="8" t="s">
        <v>29</v>
      </c>
      <c r="E21" s="8">
        <v>1</v>
      </c>
      <c r="F21" s="8" t="s">
        <v>179</v>
      </c>
      <c r="G21" s="9" t="s">
        <v>105</v>
      </c>
      <c r="H21" s="8" t="s">
        <v>99</v>
      </c>
    </row>
    <row r="22" spans="1:8">
      <c r="A22" s="8" t="s">
        <v>180</v>
      </c>
      <c r="B22" s="8" t="s">
        <v>181</v>
      </c>
      <c r="C22" s="8" t="s">
        <v>175</v>
      </c>
      <c r="D22" s="8" t="s">
        <v>29</v>
      </c>
      <c r="E22" s="8">
        <v>4</v>
      </c>
      <c r="F22" s="8" t="s">
        <v>182</v>
      </c>
      <c r="G22" s="9" t="s">
        <v>105</v>
      </c>
      <c r="H22" s="8" t="s">
        <v>99</v>
      </c>
    </row>
    <row r="23" spans="1:8">
      <c r="A23" s="10" t="s">
        <v>183</v>
      </c>
      <c r="B23" s="11" t="s">
        <v>184</v>
      </c>
      <c r="C23" s="10" t="s">
        <v>185</v>
      </c>
      <c r="D23" s="10" t="s">
        <v>44</v>
      </c>
      <c r="E23" s="10">
        <v>5</v>
      </c>
      <c r="F23" s="10" t="s">
        <v>186</v>
      </c>
      <c r="G23" s="11" t="s">
        <v>110</v>
      </c>
      <c r="H23" s="10" t="s">
        <v>43</v>
      </c>
    </row>
    <row r="24" spans="1:8">
      <c r="A24" s="10" t="s">
        <v>187</v>
      </c>
      <c r="B24" s="10" t="s">
        <v>188</v>
      </c>
      <c r="C24" s="10" t="s">
        <v>189</v>
      </c>
      <c r="D24" s="10" t="s">
        <v>29</v>
      </c>
      <c r="E24" s="10">
        <v>1</v>
      </c>
      <c r="F24" s="10" t="s">
        <v>190</v>
      </c>
      <c r="G24" s="11" t="s">
        <v>110</v>
      </c>
      <c r="H24" s="10" t="s">
        <v>27</v>
      </c>
    </row>
    <row r="25" spans="1:8">
      <c r="A25" s="10" t="s">
        <v>191</v>
      </c>
      <c r="B25" s="10" t="s">
        <v>192</v>
      </c>
      <c r="C25" s="10" t="s">
        <v>189</v>
      </c>
      <c r="D25" s="10" t="s">
        <v>29</v>
      </c>
      <c r="E25" s="10">
        <v>1</v>
      </c>
      <c r="F25" s="10" t="s">
        <v>190</v>
      </c>
      <c r="G25" s="11" t="s">
        <v>110</v>
      </c>
      <c r="H25" s="10" t="s">
        <v>27</v>
      </c>
    </row>
    <row r="26" spans="1:8">
      <c r="A26" s="8" t="s">
        <v>193</v>
      </c>
      <c r="B26" s="8" t="s">
        <v>194</v>
      </c>
      <c r="C26" s="8" t="s">
        <v>195</v>
      </c>
      <c r="D26" s="8" t="s">
        <v>29</v>
      </c>
      <c r="E26" s="8">
        <v>1</v>
      </c>
      <c r="F26" s="8" t="s">
        <v>196</v>
      </c>
      <c r="G26" s="9" t="s">
        <v>105</v>
      </c>
      <c r="H26" s="8" t="s">
        <v>99</v>
      </c>
    </row>
    <row r="27" spans="1:8">
      <c r="A27" s="8" t="s">
        <v>197</v>
      </c>
      <c r="B27" s="8" t="s">
        <v>198</v>
      </c>
      <c r="C27" s="8" t="s">
        <v>195</v>
      </c>
      <c r="D27" s="8" t="s">
        <v>29</v>
      </c>
      <c r="E27" s="8">
        <v>1</v>
      </c>
      <c r="F27" s="8" t="s">
        <v>196</v>
      </c>
      <c r="G27" s="9" t="s">
        <v>105</v>
      </c>
      <c r="H27" s="8" t="s">
        <v>99</v>
      </c>
    </row>
    <row r="28" spans="1:8">
      <c r="A28" s="10" t="s">
        <v>199</v>
      </c>
      <c r="B28" s="10" t="s">
        <v>200</v>
      </c>
      <c r="C28" s="10" t="s">
        <v>201</v>
      </c>
      <c r="D28" s="10" t="s">
        <v>29</v>
      </c>
      <c r="E28" s="10">
        <v>1</v>
      </c>
      <c r="F28" s="10" t="s">
        <v>202</v>
      </c>
      <c r="G28" s="11" t="s">
        <v>110</v>
      </c>
      <c r="H28" s="10" t="s">
        <v>31</v>
      </c>
    </row>
    <row r="29" spans="1:8">
      <c r="A29" s="10" t="s">
        <v>203</v>
      </c>
      <c r="B29" s="10" t="s">
        <v>204</v>
      </c>
      <c r="C29" s="10" t="s">
        <v>205</v>
      </c>
      <c r="D29" s="10" t="s">
        <v>29</v>
      </c>
      <c r="E29" s="10">
        <v>1</v>
      </c>
      <c r="F29" s="10" t="s">
        <v>206</v>
      </c>
      <c r="G29" s="11" t="s">
        <v>110</v>
      </c>
      <c r="H29" s="10" t="s">
        <v>34</v>
      </c>
    </row>
    <row r="30" spans="1:8">
      <c r="A30" s="10" t="s">
        <v>207</v>
      </c>
      <c r="B30" s="10" t="s">
        <v>208</v>
      </c>
      <c r="C30" s="10" t="s">
        <v>209</v>
      </c>
      <c r="D30" s="10" t="s">
        <v>29</v>
      </c>
      <c r="E30" s="10">
        <v>1</v>
      </c>
      <c r="F30" s="10" t="s">
        <v>206</v>
      </c>
      <c r="G30" s="11" t="s">
        <v>110</v>
      </c>
      <c r="H30" s="10" t="s">
        <v>37</v>
      </c>
    </row>
    <row r="31" spans="1:8">
      <c r="A31" s="8" t="s">
        <v>210</v>
      </c>
      <c r="B31" s="8" t="s">
        <v>211</v>
      </c>
      <c r="C31" s="8" t="s">
        <v>212</v>
      </c>
      <c r="D31" s="8" t="s">
        <v>29</v>
      </c>
      <c r="E31" s="8">
        <v>3</v>
      </c>
      <c r="F31" s="8" t="s">
        <v>213</v>
      </c>
      <c r="G31" s="9" t="s">
        <v>105</v>
      </c>
      <c r="H31" s="8" t="s">
        <v>99</v>
      </c>
    </row>
    <row r="32" spans="1:8">
      <c r="A32" s="8" t="s">
        <v>214</v>
      </c>
      <c r="B32" s="9" t="s">
        <v>215</v>
      </c>
      <c r="C32" s="8" t="s">
        <v>212</v>
      </c>
      <c r="D32" s="8" t="s">
        <v>29</v>
      </c>
      <c r="E32" s="8">
        <v>4</v>
      </c>
      <c r="F32" s="9" t="s">
        <v>216</v>
      </c>
      <c r="G32" s="9" t="s">
        <v>105</v>
      </c>
      <c r="H32" s="8" t="s">
        <v>99</v>
      </c>
    </row>
    <row r="33" spans="1:8">
      <c r="A33" s="10" t="s">
        <v>217</v>
      </c>
      <c r="B33" s="11" t="s">
        <v>218</v>
      </c>
      <c r="C33" s="10" t="s">
        <v>219</v>
      </c>
      <c r="D33" s="10" t="s">
        <v>29</v>
      </c>
      <c r="E33" s="10">
        <v>1</v>
      </c>
      <c r="F33" s="10" t="s">
        <v>220</v>
      </c>
      <c r="G33" s="11" t="s">
        <v>110</v>
      </c>
      <c r="H33" s="10" t="s">
        <v>40</v>
      </c>
    </row>
    <row r="34" spans="1:8">
      <c r="A34" s="10" t="s">
        <v>221</v>
      </c>
      <c r="B34" s="11" t="s">
        <v>222</v>
      </c>
      <c r="C34" s="10" t="s">
        <v>219</v>
      </c>
      <c r="D34" s="10" t="s">
        <v>29</v>
      </c>
      <c r="E34" s="10">
        <v>1</v>
      </c>
      <c r="F34" s="10" t="s">
        <v>223</v>
      </c>
      <c r="G34" s="11" t="s">
        <v>110</v>
      </c>
      <c r="H34" s="10" t="s">
        <v>40</v>
      </c>
    </row>
    <row r="35" spans="1:8">
      <c r="A35" s="8" t="s">
        <v>224</v>
      </c>
      <c r="B35" s="9" t="s">
        <v>225</v>
      </c>
      <c r="C35" s="8" t="s">
        <v>226</v>
      </c>
      <c r="D35" s="8" t="s">
        <v>29</v>
      </c>
      <c r="E35" s="8">
        <v>1</v>
      </c>
      <c r="F35" s="8" t="s">
        <v>227</v>
      </c>
      <c r="G35" s="9" t="s">
        <v>105</v>
      </c>
      <c r="H35" s="8" t="s">
        <v>99</v>
      </c>
    </row>
    <row r="36" spans="1:8">
      <c r="A36" s="8" t="s">
        <v>228</v>
      </c>
      <c r="B36" s="8" t="s">
        <v>229</v>
      </c>
      <c r="C36" s="8" t="s">
        <v>230</v>
      </c>
      <c r="D36" s="8" t="s">
        <v>29</v>
      </c>
      <c r="E36" s="8">
        <v>2</v>
      </c>
      <c r="F36" s="8" t="s">
        <v>231</v>
      </c>
      <c r="G36" s="9" t="s">
        <v>105</v>
      </c>
      <c r="H36" s="8" t="s">
        <v>99</v>
      </c>
    </row>
    <row r="37" spans="1:8">
      <c r="A37" s="8" t="s">
        <v>232</v>
      </c>
      <c r="B37" s="8" t="s">
        <v>233</v>
      </c>
      <c r="C37" s="8" t="s">
        <v>175</v>
      </c>
      <c r="D37" s="8" t="s">
        <v>29</v>
      </c>
      <c r="E37" s="8">
        <v>1</v>
      </c>
      <c r="F37" s="8" t="s">
        <v>234</v>
      </c>
      <c r="G37" s="9" t="s">
        <v>105</v>
      </c>
      <c r="H37" s="8" t="s">
        <v>99</v>
      </c>
    </row>
    <row r="38" spans="1:8">
      <c r="A38" s="10" t="s">
        <v>235</v>
      </c>
      <c r="B38" s="10" t="s">
        <v>236</v>
      </c>
      <c r="C38" s="10" t="s">
        <v>237</v>
      </c>
      <c r="D38" s="10" t="s">
        <v>29</v>
      </c>
      <c r="E38" s="10">
        <v>1</v>
      </c>
      <c r="F38" s="10" t="s">
        <v>238</v>
      </c>
      <c r="G38" s="11" t="s">
        <v>110</v>
      </c>
      <c r="H38" s="10" t="s">
        <v>46</v>
      </c>
    </row>
    <row r="39" spans="1:8">
      <c r="A39" s="10" t="s">
        <v>239</v>
      </c>
      <c r="B39" s="10" t="s">
        <v>240</v>
      </c>
      <c r="C39" s="10" t="s">
        <v>241</v>
      </c>
      <c r="D39" s="10" t="s">
        <v>29</v>
      </c>
      <c r="E39" s="10">
        <v>1</v>
      </c>
      <c r="F39" s="10" t="s">
        <v>242</v>
      </c>
      <c r="G39" s="11" t="s">
        <v>110</v>
      </c>
      <c r="H39" s="10" t="s">
        <v>49</v>
      </c>
    </row>
    <row r="40" spans="1:8">
      <c r="A40" s="10" t="s">
        <v>243</v>
      </c>
      <c r="B40" s="10" t="s">
        <v>54</v>
      </c>
      <c r="C40" s="10" t="s">
        <v>244</v>
      </c>
      <c r="D40" s="10" t="s">
        <v>29</v>
      </c>
      <c r="E40" s="10">
        <v>2</v>
      </c>
      <c r="F40" s="10" t="s">
        <v>245</v>
      </c>
      <c r="G40" s="11" t="s">
        <v>110</v>
      </c>
      <c r="H40" s="10" t="s">
        <v>52</v>
      </c>
    </row>
    <row r="41" spans="1:8">
      <c r="A41" s="8" t="s">
        <v>246</v>
      </c>
      <c r="B41" s="8" t="s">
        <v>247</v>
      </c>
      <c r="C41" s="8" t="s">
        <v>248</v>
      </c>
      <c r="D41" s="8" t="s">
        <v>29</v>
      </c>
      <c r="E41" s="8">
        <v>6</v>
      </c>
      <c r="F41" s="8" t="s">
        <v>249</v>
      </c>
      <c r="G41" s="9" t="s">
        <v>105</v>
      </c>
      <c r="H41" s="8" t="s">
        <v>99</v>
      </c>
    </row>
    <row r="42" spans="1:8">
      <c r="A42" s="8" t="s">
        <v>250</v>
      </c>
      <c r="B42" s="8" t="s">
        <v>178</v>
      </c>
      <c r="C42" s="8" t="s">
        <v>251</v>
      </c>
      <c r="D42" s="8" t="s">
        <v>29</v>
      </c>
      <c r="E42" s="8">
        <v>1</v>
      </c>
      <c r="F42" s="8" t="s">
        <v>179</v>
      </c>
      <c r="G42" s="9" t="s">
        <v>105</v>
      </c>
      <c r="H42" s="8" t="s">
        <v>99</v>
      </c>
    </row>
    <row r="43" spans="1:8">
      <c r="A43" s="8" t="s">
        <v>252</v>
      </c>
      <c r="B43" s="8" t="s">
        <v>253</v>
      </c>
      <c r="C43" s="8" t="s">
        <v>254</v>
      </c>
      <c r="D43" s="8" t="s">
        <v>29</v>
      </c>
      <c r="E43" s="8">
        <v>1</v>
      </c>
      <c r="F43" s="8" t="s">
        <v>255</v>
      </c>
      <c r="G43" s="9" t="s">
        <v>105</v>
      </c>
      <c r="H43" s="8" t="s">
        <v>99</v>
      </c>
    </row>
    <row r="44" spans="1:8">
      <c r="A44" s="8" t="s">
        <v>256</v>
      </c>
      <c r="B44" s="8" t="s">
        <v>257</v>
      </c>
      <c r="C44" s="8" t="s">
        <v>254</v>
      </c>
      <c r="D44" s="8" t="s">
        <v>29</v>
      </c>
      <c r="E44" s="8">
        <v>1</v>
      </c>
      <c r="F44" s="8" t="s">
        <v>258</v>
      </c>
      <c r="G44" s="9" t="s">
        <v>105</v>
      </c>
      <c r="H44" s="8" t="s">
        <v>99</v>
      </c>
    </row>
    <row r="45" spans="1:8">
      <c r="A45" s="8" t="s">
        <v>259</v>
      </c>
      <c r="B45" s="8" t="s">
        <v>260</v>
      </c>
      <c r="C45" s="8" t="s">
        <v>261</v>
      </c>
      <c r="D45" s="8" t="s">
        <v>262</v>
      </c>
      <c r="E45" s="8">
        <v>2</v>
      </c>
      <c r="F45" s="8" t="s">
        <v>263</v>
      </c>
      <c r="G45" s="9" t="s">
        <v>105</v>
      </c>
      <c r="H45" s="8" t="s">
        <v>99</v>
      </c>
    </row>
    <row r="46" spans="1:8">
      <c r="A46" s="8" t="s">
        <v>264</v>
      </c>
      <c r="B46" s="8" t="s">
        <v>265</v>
      </c>
      <c r="C46" s="8" t="s">
        <v>266</v>
      </c>
      <c r="D46" s="8" t="s">
        <v>29</v>
      </c>
      <c r="E46" s="8">
        <v>1</v>
      </c>
      <c r="F46" s="8" t="s">
        <v>99</v>
      </c>
      <c r="G46" s="9" t="s">
        <v>105</v>
      </c>
      <c r="H46" s="8" t="s">
        <v>99</v>
      </c>
    </row>
    <row r="47" spans="1:8">
      <c r="A47" s="8" t="s">
        <v>267</v>
      </c>
      <c r="B47" s="8" t="s">
        <v>268</v>
      </c>
      <c r="C47" s="8" t="s">
        <v>269</v>
      </c>
      <c r="D47" s="8" t="s">
        <v>29</v>
      </c>
      <c r="E47" s="8">
        <v>1</v>
      </c>
      <c r="F47" s="8" t="s">
        <v>270</v>
      </c>
      <c r="G47" s="9" t="s">
        <v>105</v>
      </c>
      <c r="H47" s="8" t="s">
        <v>99</v>
      </c>
    </row>
    <row r="48" spans="1:8">
      <c r="A48" s="8" t="s">
        <v>271</v>
      </c>
      <c r="B48" s="8" t="s">
        <v>272</v>
      </c>
      <c r="C48" s="8" t="s">
        <v>266</v>
      </c>
      <c r="D48" s="8" t="s">
        <v>29</v>
      </c>
      <c r="E48" s="8">
        <v>1</v>
      </c>
      <c r="F48" s="9" t="s">
        <v>273</v>
      </c>
      <c r="G48" s="9" t="s">
        <v>105</v>
      </c>
      <c r="H48" s="8" t="s">
        <v>99</v>
      </c>
    </row>
    <row r="49" spans="1:8">
      <c r="A49" s="10" t="s">
        <v>274</v>
      </c>
      <c r="B49" s="10" t="s">
        <v>275</v>
      </c>
      <c r="C49" s="10" t="s">
        <v>276</v>
      </c>
      <c r="D49" s="10" t="s">
        <v>29</v>
      </c>
      <c r="E49" s="10">
        <v>4</v>
      </c>
      <c r="F49" s="10" t="s">
        <v>277</v>
      </c>
      <c r="G49" s="11" t="s">
        <v>110</v>
      </c>
      <c r="H49" s="10" t="s">
        <v>55</v>
      </c>
    </row>
    <row r="50" spans="1:8">
      <c r="A50" s="10" t="s">
        <v>278</v>
      </c>
      <c r="B50" s="10" t="s">
        <v>279</v>
      </c>
      <c r="C50" s="10" t="s">
        <v>280</v>
      </c>
      <c r="D50" s="10" t="s">
        <v>281</v>
      </c>
      <c r="E50" s="10">
        <v>1</v>
      </c>
      <c r="F50" s="10" t="s">
        <v>282</v>
      </c>
      <c r="G50" s="11" t="s">
        <v>110</v>
      </c>
      <c r="H50" s="10" t="s">
        <v>58</v>
      </c>
    </row>
    <row r="51" spans="1:8">
      <c r="A51" s="10" t="s">
        <v>283</v>
      </c>
      <c r="B51" s="10" t="s">
        <v>62</v>
      </c>
      <c r="C51" s="10" t="s">
        <v>284</v>
      </c>
      <c r="D51" s="10" t="s">
        <v>29</v>
      </c>
      <c r="E51" s="10">
        <v>1</v>
      </c>
      <c r="F51" s="10" t="s">
        <v>99</v>
      </c>
      <c r="G51" s="11" t="s">
        <v>110</v>
      </c>
      <c r="H51" s="10" t="s">
        <v>61</v>
      </c>
    </row>
    <row r="52" spans="1:8">
      <c r="A52" s="10" t="s">
        <v>285</v>
      </c>
      <c r="B52" s="10" t="s">
        <v>286</v>
      </c>
      <c r="C52" s="10" t="s">
        <v>287</v>
      </c>
      <c r="D52" s="10" t="s">
        <v>29</v>
      </c>
      <c r="E52" s="10">
        <v>1</v>
      </c>
      <c r="F52" s="10" t="s">
        <v>99</v>
      </c>
      <c r="G52" s="11" t="s">
        <v>110</v>
      </c>
      <c r="H52" s="10" t="s">
        <v>55</v>
      </c>
    </row>
    <row r="53" spans="1:8">
      <c r="A53" s="10" t="s">
        <v>288</v>
      </c>
      <c r="B53" s="10" t="s">
        <v>289</v>
      </c>
      <c r="C53" s="10" t="s">
        <v>290</v>
      </c>
      <c r="D53" s="10" t="s">
        <v>291</v>
      </c>
      <c r="E53" s="10">
        <v>2</v>
      </c>
      <c r="F53" s="10" t="s">
        <v>292</v>
      </c>
      <c r="G53" s="11" t="s">
        <v>110</v>
      </c>
      <c r="H53" s="10" t="s">
        <v>63</v>
      </c>
    </row>
    <row r="54" spans="1:8">
      <c r="A54" s="8" t="s">
        <v>293</v>
      </c>
      <c r="B54" s="8" t="s">
        <v>294</v>
      </c>
      <c r="C54" s="8" t="s">
        <v>295</v>
      </c>
      <c r="D54" s="8" t="s">
        <v>25</v>
      </c>
      <c r="E54" s="8">
        <v>1</v>
      </c>
      <c r="F54" s="8" t="s">
        <v>296</v>
      </c>
      <c r="G54" s="9" t="s">
        <v>105</v>
      </c>
      <c r="H54" s="8" t="s">
        <v>99</v>
      </c>
    </row>
    <row r="55" spans="1:8">
      <c r="A55" s="10" t="s">
        <v>297</v>
      </c>
      <c r="B55" s="11" t="s">
        <v>298</v>
      </c>
      <c r="C55" s="10" t="s">
        <v>299</v>
      </c>
      <c r="D55" s="10" t="s">
        <v>25</v>
      </c>
      <c r="E55" s="10">
        <v>1</v>
      </c>
      <c r="F55" s="10" t="s">
        <v>300</v>
      </c>
      <c r="G55" s="11" t="s">
        <v>110</v>
      </c>
      <c r="H55" s="10" t="s">
        <v>71</v>
      </c>
    </row>
    <row r="56" spans="1:8">
      <c r="A56" s="3" t="s">
        <v>301</v>
      </c>
      <c r="B56" s="3" t="s">
        <v>302</v>
      </c>
      <c r="C56" s="3" t="s">
        <v>303</v>
      </c>
      <c r="D56" s="3" t="s">
        <v>25</v>
      </c>
      <c r="E56" s="3">
        <v>1</v>
      </c>
      <c r="F56" s="3" t="s">
        <v>304</v>
      </c>
      <c r="G56" s="4" t="s">
        <v>305</v>
      </c>
      <c r="H56" s="3" t="s">
        <v>99</v>
      </c>
    </row>
    <row r="57" spans="1:8">
      <c r="A57" s="10" t="s">
        <v>306</v>
      </c>
      <c r="B57" s="10" t="s">
        <v>307</v>
      </c>
      <c r="C57" s="11" t="s">
        <v>308</v>
      </c>
      <c r="D57" s="10" t="s">
        <v>25</v>
      </c>
      <c r="E57" s="10">
        <v>1</v>
      </c>
      <c r="F57" s="10" t="s">
        <v>309</v>
      </c>
      <c r="G57" s="11" t="s">
        <v>110</v>
      </c>
      <c r="H57" s="10" t="s">
        <v>78</v>
      </c>
    </row>
    <row r="58" spans="1:8">
      <c r="A58" s="10" t="s">
        <v>310</v>
      </c>
      <c r="B58" s="10" t="s">
        <v>311</v>
      </c>
      <c r="C58" s="11" t="s">
        <v>312</v>
      </c>
      <c r="D58" s="10" t="s">
        <v>25</v>
      </c>
      <c r="E58" s="10">
        <v>1</v>
      </c>
      <c r="F58" s="10" t="s">
        <v>313</v>
      </c>
      <c r="G58" s="11" t="s">
        <v>110</v>
      </c>
      <c r="H58" s="10" t="s">
        <v>75</v>
      </c>
    </row>
    <row r="59" spans="1:8">
      <c r="A59" s="10" t="s">
        <v>314</v>
      </c>
      <c r="B59" s="11" t="s">
        <v>315</v>
      </c>
      <c r="C59" s="10" t="s">
        <v>316</v>
      </c>
      <c r="D59" s="10" t="s">
        <v>29</v>
      </c>
      <c r="E59" s="10">
        <v>1</v>
      </c>
      <c r="F59" s="11" t="s">
        <v>317</v>
      </c>
      <c r="G59" s="11" t="s">
        <v>110</v>
      </c>
      <c r="H59" s="10" t="s">
        <v>81</v>
      </c>
    </row>
    <row r="60" spans="1:8">
      <c r="A60" s="10" t="s">
        <v>318</v>
      </c>
      <c r="B60" s="11" t="s">
        <v>319</v>
      </c>
      <c r="C60" s="10" t="s">
        <v>320</v>
      </c>
      <c r="D60" s="10" t="s">
        <v>29</v>
      </c>
      <c r="E60" s="10">
        <v>1</v>
      </c>
      <c r="F60" s="11" t="s">
        <v>321</v>
      </c>
      <c r="G60" s="11" t="s">
        <v>110</v>
      </c>
      <c r="H60" s="10" t="s">
        <v>84</v>
      </c>
    </row>
    <row r="61" spans="1:8" ht="28.5">
      <c r="A61" s="8" t="s">
        <v>322</v>
      </c>
      <c r="B61" s="8" t="s">
        <v>323</v>
      </c>
      <c r="C61" s="8" t="s">
        <v>324</v>
      </c>
      <c r="D61" s="8" t="s">
        <v>262</v>
      </c>
      <c r="E61" s="8">
        <v>3</v>
      </c>
      <c r="F61" s="9" t="s">
        <v>325</v>
      </c>
      <c r="G61" s="9" t="s">
        <v>326</v>
      </c>
      <c r="H61" s="8" t="s">
        <v>99</v>
      </c>
    </row>
    <row r="62" spans="1:8">
      <c r="A62" s="8" t="s">
        <v>327</v>
      </c>
      <c r="B62" s="9" t="s">
        <v>328</v>
      </c>
      <c r="C62" s="8" t="s">
        <v>329</v>
      </c>
      <c r="D62" s="9" t="s">
        <v>330</v>
      </c>
      <c r="E62" s="8">
        <v>4</v>
      </c>
      <c r="F62" s="9" t="s">
        <v>331</v>
      </c>
      <c r="G62" s="9" t="s">
        <v>105</v>
      </c>
      <c r="H62" s="8" t="s">
        <v>99</v>
      </c>
    </row>
    <row r="63" spans="1:8">
      <c r="A63" s="8" t="s">
        <v>332</v>
      </c>
      <c r="B63" s="9" t="s">
        <v>333</v>
      </c>
      <c r="C63" s="8" t="s">
        <v>334</v>
      </c>
      <c r="D63" s="8" t="s">
        <v>335</v>
      </c>
      <c r="E63" s="8">
        <v>1</v>
      </c>
      <c r="F63" s="9" t="s">
        <v>336</v>
      </c>
      <c r="G63" s="9" t="s">
        <v>337</v>
      </c>
      <c r="H63" s="8" t="s">
        <v>99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zoomScaleNormal="100" workbookViewId="0"/>
  </sheetViews>
  <sheetFormatPr defaultColWidth="8.6328125" defaultRowHeight="14.5"/>
  <cols>
    <col min="1" max="1" width="30" customWidth="1"/>
    <col min="2" max="2" width="18" customWidth="1"/>
    <col min="3" max="3" width="8" customWidth="1"/>
    <col min="4" max="4" width="28" customWidth="1"/>
    <col min="5" max="5" width="32" customWidth="1"/>
  </cols>
  <sheetData>
    <row r="1" spans="1:5" ht="27.7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338</v>
      </c>
    </row>
    <row r="2" spans="1:5">
      <c r="A2" s="3" t="s">
        <v>102</v>
      </c>
      <c r="B2" s="3" t="s">
        <v>103</v>
      </c>
      <c r="C2" s="3">
        <v>1</v>
      </c>
      <c r="D2" s="3" t="s">
        <v>339</v>
      </c>
      <c r="E2" s="3" t="s">
        <v>340</v>
      </c>
    </row>
    <row r="3" spans="1:5">
      <c r="A3" s="3" t="s">
        <v>341</v>
      </c>
      <c r="B3" s="3" t="s">
        <v>130</v>
      </c>
      <c r="C3" s="3">
        <v>10</v>
      </c>
      <c r="D3" s="3" t="s">
        <v>342</v>
      </c>
      <c r="E3" s="4" t="s">
        <v>343</v>
      </c>
    </row>
    <row r="4" spans="1:5">
      <c r="A4" s="3" t="s">
        <v>16</v>
      </c>
      <c r="B4" s="3" t="s">
        <v>17</v>
      </c>
      <c r="C4" s="3">
        <v>1</v>
      </c>
      <c r="D4" s="3" t="s">
        <v>344</v>
      </c>
      <c r="E4" s="4" t="s">
        <v>345</v>
      </c>
    </row>
    <row r="5" spans="1:5">
      <c r="A5" s="3" t="s">
        <v>113</v>
      </c>
      <c r="B5" s="3" t="s">
        <v>17</v>
      </c>
      <c r="C5" s="3">
        <v>1</v>
      </c>
      <c r="D5" s="3" t="s">
        <v>346</v>
      </c>
      <c r="E5" s="4" t="s">
        <v>347</v>
      </c>
    </row>
    <row r="6" spans="1:5">
      <c r="A6" s="3" t="s">
        <v>348</v>
      </c>
      <c r="B6" s="3" t="s">
        <v>349</v>
      </c>
      <c r="C6" s="3">
        <v>1</v>
      </c>
      <c r="D6" s="3" t="s">
        <v>350</v>
      </c>
      <c r="E6" s="3" t="s">
        <v>351</v>
      </c>
    </row>
    <row r="7" spans="1:5">
      <c r="A7" s="3" t="s">
        <v>140</v>
      </c>
      <c r="B7" s="3" t="s">
        <v>141</v>
      </c>
      <c r="C7" s="3">
        <v>1</v>
      </c>
      <c r="D7" s="3" t="s">
        <v>352</v>
      </c>
      <c r="E7" s="4" t="s">
        <v>353</v>
      </c>
    </row>
    <row r="8" spans="1:5">
      <c r="A8" s="3" t="s">
        <v>354</v>
      </c>
      <c r="B8" s="3" t="s">
        <v>355</v>
      </c>
      <c r="C8" s="3">
        <v>1</v>
      </c>
      <c r="D8" s="3" t="s">
        <v>356</v>
      </c>
      <c r="E8" s="3" t="s">
        <v>357</v>
      </c>
    </row>
    <row r="9" spans="1:5">
      <c r="A9" s="3" t="s">
        <v>358</v>
      </c>
      <c r="B9" s="3" t="s">
        <v>17</v>
      </c>
      <c r="C9" s="3">
        <v>1</v>
      </c>
      <c r="D9" s="4" t="s">
        <v>359</v>
      </c>
      <c r="E9" s="4" t="s">
        <v>360</v>
      </c>
    </row>
    <row r="10" spans="1:5">
      <c r="A10" s="3" t="s">
        <v>361</v>
      </c>
      <c r="B10" s="3" t="s">
        <v>21</v>
      </c>
      <c r="C10" s="3">
        <v>25</v>
      </c>
      <c r="D10" s="4" t="s">
        <v>362</v>
      </c>
      <c r="E10" s="4" t="s">
        <v>363</v>
      </c>
    </row>
    <row r="11" spans="1:5">
      <c r="A11" s="3" t="s">
        <v>364</v>
      </c>
      <c r="B11" s="3" t="s">
        <v>21</v>
      </c>
      <c r="C11" s="3">
        <v>50</v>
      </c>
      <c r="D11" s="4" t="s">
        <v>362</v>
      </c>
      <c r="E11" s="3" t="s">
        <v>365</v>
      </c>
    </row>
    <row r="12" spans="1:5">
      <c r="A12" s="3" t="s">
        <v>366</v>
      </c>
      <c r="B12" s="3" t="s">
        <v>367</v>
      </c>
      <c r="C12" s="3">
        <v>20</v>
      </c>
      <c r="D12" s="3" t="s">
        <v>368</v>
      </c>
      <c r="E12" s="4" t="s">
        <v>369</v>
      </c>
    </row>
    <row r="13" spans="1:5">
      <c r="A13" s="3" t="s">
        <v>370</v>
      </c>
      <c r="B13" s="3" t="s">
        <v>335</v>
      </c>
      <c r="C13" s="3">
        <v>5</v>
      </c>
      <c r="D13" s="3" t="s">
        <v>371</v>
      </c>
      <c r="E13" s="4" t="s">
        <v>372</v>
      </c>
    </row>
    <row r="14" spans="1:5">
      <c r="A14" s="3" t="s">
        <v>160</v>
      </c>
      <c r="B14" s="3" t="s">
        <v>161</v>
      </c>
      <c r="C14" s="3">
        <v>5</v>
      </c>
      <c r="D14" s="3" t="s">
        <v>373</v>
      </c>
      <c r="E14" s="3" t="s">
        <v>374</v>
      </c>
    </row>
    <row r="15" spans="1:5">
      <c r="A15" s="3" t="s">
        <v>165</v>
      </c>
      <c r="B15" s="3" t="s">
        <v>166</v>
      </c>
      <c r="C15" s="3">
        <v>5</v>
      </c>
      <c r="D15" s="3" t="s">
        <v>375</v>
      </c>
      <c r="E15" s="4" t="s">
        <v>376</v>
      </c>
    </row>
    <row r="16" spans="1:5">
      <c r="A16" s="3" t="s">
        <v>377</v>
      </c>
      <c r="B16" s="3" t="s">
        <v>378</v>
      </c>
      <c r="C16" s="3">
        <v>50</v>
      </c>
      <c r="D16" s="3" t="s">
        <v>379</v>
      </c>
      <c r="E16" s="4" t="s">
        <v>380</v>
      </c>
    </row>
    <row r="17" spans="1:5">
      <c r="A17" s="3" t="s">
        <v>381</v>
      </c>
      <c r="B17" s="3" t="s">
        <v>262</v>
      </c>
      <c r="C17" s="3">
        <v>50</v>
      </c>
      <c r="D17" s="3" t="s">
        <v>382</v>
      </c>
      <c r="E17" s="4" t="s">
        <v>383</v>
      </c>
    </row>
    <row r="18" spans="1:5">
      <c r="A18" s="3" t="s">
        <v>384</v>
      </c>
      <c r="B18" s="4" t="s">
        <v>385</v>
      </c>
      <c r="C18" s="3">
        <v>20</v>
      </c>
      <c r="D18" s="3" t="s">
        <v>386</v>
      </c>
      <c r="E18" s="3" t="s">
        <v>387</v>
      </c>
    </row>
    <row r="19" spans="1:5">
      <c r="A19" s="3" t="s">
        <v>388</v>
      </c>
      <c r="B19" s="3" t="s">
        <v>25</v>
      </c>
      <c r="C19" s="3">
        <v>5</v>
      </c>
      <c r="D19" s="3" t="s">
        <v>389</v>
      </c>
      <c r="E19" s="3" t="s">
        <v>302</v>
      </c>
    </row>
    <row r="20" spans="1:5">
      <c r="A20" s="3" t="s">
        <v>390</v>
      </c>
      <c r="B20" s="3" t="s">
        <v>25</v>
      </c>
      <c r="C20" s="3">
        <v>5</v>
      </c>
      <c r="D20" s="3" t="s">
        <v>391</v>
      </c>
      <c r="E20" s="3" t="s">
        <v>392</v>
      </c>
    </row>
    <row r="21" spans="1:5">
      <c r="A21" s="3" t="s">
        <v>393</v>
      </c>
      <c r="B21" s="3" t="s">
        <v>29</v>
      </c>
      <c r="C21" s="3">
        <v>100</v>
      </c>
      <c r="D21" s="3" t="s">
        <v>394</v>
      </c>
      <c r="E21" s="4" t="s">
        <v>395</v>
      </c>
    </row>
    <row r="22" spans="1:5">
      <c r="A22" s="3" t="s">
        <v>396</v>
      </c>
      <c r="B22" s="3" t="s">
        <v>29</v>
      </c>
      <c r="C22" s="3">
        <v>100</v>
      </c>
      <c r="D22" s="4" t="s">
        <v>397</v>
      </c>
      <c r="E22" s="4" t="s">
        <v>398</v>
      </c>
    </row>
    <row r="23" spans="1:5">
      <c r="A23" s="3" t="s">
        <v>399</v>
      </c>
      <c r="B23" s="3" t="s">
        <v>29</v>
      </c>
      <c r="C23" s="3">
        <v>100</v>
      </c>
      <c r="D23" s="4" t="s">
        <v>400</v>
      </c>
      <c r="E23" s="3" t="s">
        <v>401</v>
      </c>
    </row>
    <row r="24" spans="1:5">
      <c r="A24" s="3" t="s">
        <v>402</v>
      </c>
      <c r="B24" s="3" t="s">
        <v>29</v>
      </c>
      <c r="C24" s="3">
        <v>100</v>
      </c>
      <c r="D24" s="4" t="s">
        <v>403</v>
      </c>
      <c r="E24" s="3" t="s">
        <v>99</v>
      </c>
    </row>
    <row r="25" spans="1:5">
      <c r="A25" s="3" t="s">
        <v>404</v>
      </c>
      <c r="B25" s="3" t="s">
        <v>29</v>
      </c>
      <c r="C25" s="3">
        <v>100</v>
      </c>
      <c r="D25" s="4" t="s">
        <v>403</v>
      </c>
      <c r="E25" s="3" t="s">
        <v>99</v>
      </c>
    </row>
    <row r="26" spans="1:5">
      <c r="A26" s="3" t="s">
        <v>405</v>
      </c>
      <c r="B26" s="3" t="s">
        <v>29</v>
      </c>
      <c r="C26" s="3">
        <v>100</v>
      </c>
      <c r="D26" s="3" t="s">
        <v>406</v>
      </c>
      <c r="E26" s="3" t="s">
        <v>228</v>
      </c>
    </row>
    <row r="27" spans="1:5">
      <c r="A27" s="3" t="s">
        <v>407</v>
      </c>
      <c r="B27" s="3" t="s">
        <v>408</v>
      </c>
      <c r="C27" s="3">
        <v>100</v>
      </c>
      <c r="D27" s="4" t="s">
        <v>409</v>
      </c>
      <c r="E27" s="4" t="s">
        <v>410</v>
      </c>
    </row>
    <row r="28" spans="1:5">
      <c r="A28" s="3" t="s">
        <v>411</v>
      </c>
      <c r="B28" s="3" t="s">
        <v>29</v>
      </c>
      <c r="C28" s="3">
        <v>50</v>
      </c>
      <c r="D28" s="4" t="s">
        <v>412</v>
      </c>
      <c r="E28" s="4" t="s">
        <v>343</v>
      </c>
    </row>
    <row r="29" spans="1:5">
      <c r="A29" s="3" t="s">
        <v>413</v>
      </c>
      <c r="B29" s="3" t="s">
        <v>29</v>
      </c>
      <c r="C29" s="3">
        <v>50</v>
      </c>
      <c r="D29" s="3" t="s">
        <v>414</v>
      </c>
      <c r="E29" s="3" t="s">
        <v>415</v>
      </c>
    </row>
    <row r="30" spans="1:5">
      <c r="A30" s="3" t="s">
        <v>416</v>
      </c>
      <c r="B30" s="3" t="s">
        <v>29</v>
      </c>
      <c r="C30" s="3">
        <v>20</v>
      </c>
      <c r="D30" s="4" t="s">
        <v>417</v>
      </c>
      <c r="E30" s="3" t="s">
        <v>418</v>
      </c>
    </row>
    <row r="31" spans="1:5">
      <c r="A31" s="3" t="s">
        <v>419</v>
      </c>
      <c r="B31" s="3" t="s">
        <v>29</v>
      </c>
      <c r="C31" s="3">
        <v>50</v>
      </c>
      <c r="D31" s="4" t="s">
        <v>420</v>
      </c>
      <c r="E31" s="4" t="s">
        <v>421</v>
      </c>
    </row>
    <row r="32" spans="1:5">
      <c r="A32" s="3" t="s">
        <v>422</v>
      </c>
      <c r="B32" s="3" t="s">
        <v>99</v>
      </c>
      <c r="C32" s="3">
        <v>3</v>
      </c>
      <c r="D32" s="4" t="s">
        <v>423</v>
      </c>
      <c r="E32" s="4" t="s">
        <v>424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立创补购清单</vt:lpstr>
      <vt:lpstr>完整BOM总览</vt:lpstr>
      <vt:lpstr>已采购物料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Shrinkraln Henx</cp:lastModifiedBy>
  <cp:revision>0</cp:revision>
  <dcterms:created xsi:type="dcterms:W3CDTF">2026-04-25T06:37:39Z</dcterms:created>
  <dcterms:modified xsi:type="dcterms:W3CDTF">2026-04-25T08:50:26Z</dcterms:modified>
  <dc:language>en-US</dc:language>
</cp:coreProperties>
</file>